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9d5e0e0d6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en" sheetId="13" r:id="Rf14df5cdaa7f4865"/>
    <x:sheet xmlns:r="http://schemas.openxmlformats.org/officeDocument/2006/relationships" name="Resumen" sheetId="1" r:id="R8553a85e0ed448df"/>
    <x:sheet xmlns:r="http://schemas.openxmlformats.org/officeDocument/2006/relationships" name="Equipo" sheetId="5" r:id="R54350745ca644208"/>
    <x:sheet xmlns:r="http://schemas.openxmlformats.org/officeDocument/2006/relationships" name="Evaluación founders" sheetId="6" r:id="Rfe04029d1ab84d5c"/>
    <x:sheet xmlns:r="http://schemas.openxmlformats.org/officeDocument/2006/relationships" name="Backlog MVP" sheetId="2" r:id="R21a1db078fee4226"/>
    <x:sheet xmlns:r="http://schemas.openxmlformats.org/officeDocument/2006/relationships" name="Roadmap semanal" sheetId="4" r:id="R4f295c53413946d5"/>
    <x:sheet xmlns:r="http://schemas.openxmlformats.org/officeDocument/2006/relationships" name="Roadmap 4 meses" sheetId="3" r:id="Rbe2c6894ef3d4537"/>
    <x:sheet xmlns:r="http://schemas.openxmlformats.org/officeDocument/2006/relationships" name="Costos por usuario" sheetId="7" r:id="R5065603f88b644fa"/>
    <x:sheet xmlns:r="http://schemas.openxmlformats.org/officeDocument/2006/relationships" name="Inversión" sheetId="12" r:id="Rb544a96b37344087"/>
    <x:sheet xmlns:r="http://schemas.openxmlformats.org/officeDocument/2006/relationships" name="Próximas ideas" sheetId="10" r:id="R3ffb0216394546f2"/>
  </x:sheets>
</x:workbook>
</file>

<file path=xl/sharedStrings.xml><?xml version="1.0" encoding="utf-8"?>
<x:sst xmlns:x="http://schemas.openxmlformats.org/spreadsheetml/2006/main">
  <x:si>
    <x:t xml:space="preserve">TC</x:t>
  </x:si>
  <x:si>
    <x:t xml:space="preserve">*</x:t>
  </x:si>
  <x:si>
    <x:t xml:space="preserve">Costo del examen inicial</x:t>
  </x:si>
  <x:si>
    <x:t xml:space="preserve">Promedio por alumno nuevo</x:t>
  </x:si>
  <x:si>
    <x:t xml:space="preserve">Alumnos</x:t>
  </x:si>
  <x:si>
    <x:t xml:space="preserve">Costo USD</x:t>
  </x:si>
  <x:si>
    <x:t xml:space="preserve">Costo PEN</x:t>
  </x:si>
  <x:si>
    <x:t xml:space="preserve">Descripción</x:t>
  </x:si>
  <x:si>
    <x:t xml:space="preserve">Pruebas</x:t>
  </x:si>
  <x:si>
    <x:t xml:space="preserve">&lt;- MVP</x:t>
  </x:si>
  <x:si>
    <x:t xml:space="preserve">Corto plazo (6 meses)</x:t>
  </x:si>
  <x:si>
    <x:t xml:space="preserve">Mediano plazo (2 años)</x:t>
  </x:si>
  <x:si>
    <x:t xml:space="preserve">Largo plazo &gt;2 años</x:t>
  </x:si>
  <x:si>
    <x:t xml:space="preserve">**</x:t>
  </x:si>
  <x:si>
    <x:t xml:space="preserve">Prisma</x:t>
  </x:si>
  <x:si>
    <x:t xml:space="preserve">Prueba inicial por operaciones</x:t>
  </x:si>
  <x:si>
    <x:t xml:space="preserve">Operaciones</x:t>
  </x:si>
  <x:si>
    <x:t xml:space="preserve">Costo x op</x:t>
  </x:si>
  <x:si>
    <x:t xml:space="preserve">Preguntas reales</x:t>
  </x:si>
  <x:si>
    <x:t xml:space="preserve">Ops/pregunta</x:t>
  </x:si>
  <x:si>
    <x:t xml:space="preserve">Caso probado</x:t>
  </x:si>
  <x:si>
    <x:t xml:space="preserve">Peor de los casos (que completen mayoría)</x:t>
  </x:si>
  <x:si>
    <x:t xml:space="preserve">Nivel confirmado</x:t>
  </x:si>
  <x:si>
    <x:t xml:space="preserve">Vocab+Grm (preguntas, caso peor)</x:t>
  </x:si>
  <x:si>
    <x:t xml:space="preserve">Número op</x:t>
  </x:si>
  <x:si>
    <x:t xml:space="preserve">Costo en USD</x:t>
  </x:si>
  <x:si>
    <x:t xml:space="preserve">Preguntas estimadas (Vocab+Gram+Read+Listen)</x:t>
  </x:si>
  <x:si>
    <x:t xml:space="preserve">Ops estimadas</x:t>
  </x:si>
  <x:si>
    <x:t xml:space="preserve">HSK1</x:t>
  </x:si>
  <x:si>
    <x:t xml:space="preserve">HSK5</x:t>
  </x:si>
  <x:si>
    <x:t xml:space="preserve">HSK6</x:t>
  </x:si>
  <x:si>
    <x:t xml:space="preserve">HSK7-9 (techo)</x:t>
  </x:si>
  <x:si>
    <x:t xml:space="preserve">Costo por Learning Journey</x:t>
  </x:si>
  <x:si>
    <x:t xml:space="preserve">Vocabulary</x:t>
  </x:si>
  <x:si>
    <x:t xml:space="preserve">Grammar</x:t>
  </x:si>
  <x:si>
    <x:t xml:space="preserve">Situation</x:t>
  </x:si>
  <x:si>
    <x:t xml:space="preserve">Comprehension</x:t>
  </x:si>
  <x:si>
    <x:t xml:space="preserve">Speaking</x:t>
  </x:si>
  <x:si>
    <x:t xml:space="preserve">Reflection</x:t>
  </x:si>
  <x:si>
    <x:t xml:space="preserve">HanGo | Resumen MVP</x:t>
  </x:si>
  <x:si>
    <x:t xml:space="preserve">Visión</x:t>
  </x:si>
  <x:si>
    <x:t xml:space="preserve">Métrica</x:t>
  </x:si>
  <x:si>
    <x:t xml:space="preserve">Valor actual</x:t>
  </x:si>
  <x:si>
    <x:t xml:space="preserve">Top 3 de esta semana — desde Backlog y Riesgos</x:t>
  </x:si>
  <x:si>
    <x:t xml:space="preserve">% backlog MVP hecho</x:t>
  </x:si>
  <x:si>
    <x:t xml:space="preserve">#</x:t>
  </x:si>
  <x:si>
    <x:t xml:space="preserve">Tipo</x:t>
  </x:si>
  <x:si>
    <x:t xml:space="preserve">Prioridad / riesgo</x:t>
  </x:si>
  <x:si>
    <x:t xml:space="preserve">Owner</x:t>
  </x:si>
  <x:si>
    <x:t xml:space="preserve">Estado</x:t>
  </x:si>
  <x:si>
    <x:t xml:space="preserve">Fuente</x:t>
  </x:si>
  <x:si>
    <x:t xml:space="preserve">Costo / usuario</x:t>
  </x:si>
  <x:si>
    <x:t xml:space="preserve">Semana / restantes</x:t>
  </x:si>
  <x:si>
    <x:t xml:space="preserve">Estado Jazmín</x:t>
  </x:si>
  <x:si>
    <x:t xml:space="preserve">Estado Krishna</x:t>
  </x:si>
  <x:si>
    <x:t xml:space="preserve">Fase actual</x:t>
  </x:si>
  <x:si>
    <x:t xml:space="preserve">Lectura de hoy</x:t>
  </x:si>
  <x:si>
    <x:t xml:space="preserve">1</x:t>
  </x:si>
  <x:si>
    <x:t xml:space="preserve">2</x:t>
  </x:si>
  <x:si>
    <x:t xml:space="preserve">3</x:t>
  </x:si>
  <x:si>
    <x:t xml:space="preserve">Puerta del MVP</x:t>
  </x:si>
  <x:si>
    <x:t xml:space="preserve">Mes 4, solo si validamos uso, aprendizaje y costo.</x:t>
  </x:si>
  <x:si>
    <x:t xml:space="preserve">HanGo | Equipo</x:t>
  </x:si>
  <x:si>
    <x:t xml:space="preserve">Roster actual</x:t>
  </x:si>
  <x:si>
    <x:t xml:space="preserve">Nombre</x:t>
  </x:si>
  <x:si>
    <x:t xml:space="preserve">Rol propuesto</x:t>
  </x:si>
  <x:si>
    <x:t xml:space="preserve">Dedicación declarada</x:t>
  </x:si>
  <x:si>
    <x:t xml:space="preserve">Inicio</x:t>
  </x:si>
  <x:si>
    <x:t xml:space="preserve">Estado actual</x:t>
  </x:si>
  <x:si>
    <x:t xml:space="preserve">Próxima revisión</x:t>
  </x:si>
  <x:si>
    <x:t xml:space="preserve">Arean</x:t>
  </x:si>
  <x:si>
    <x:t xml:space="preserve">Founder / producto y negocio</x:t>
  </x:si>
  <x:si>
    <x:t xml:space="preserve">8–12 h/semana</x:t>
  </x:si>
  <x:si>
    <x:t xml:space="preserve">Founder</x:t>
  </x:si>
  <x:si>
    <x:t xml:space="preserve">Jazmín</x:t>
  </x:si>
  <x:si>
    <x:t xml:space="preserve">Candidata técnica</x:t>
  </x:si>
  <x:si>
    <x:t xml:space="preserve">5–8 h/semana</x:t>
  </x:si>
  <x:si>
    <x:t xml:space="preserve">En prueba</x:t>
  </x:si>
  <x:si>
    <x:t xml:space="preserve">Krishna</x:t>
  </x:si>
  <x:si>
    <x:t xml:space="preserve">Educación / partnerships</x:t>
  </x:si>
  <x:si>
    <x:t xml:space="preserve">Por confirmar</x:t>
  </x:si>
  <x:si>
    <x:t xml:space="preserve">Por conversar</x:t>
  </x:si>
  <x:si>
    <x:t xml:space="preserve">Regla: una buena prueba puede terminar en cofounder, advisor, colaborador o pausa. Ningún resultado es un fracaso personal y ninguna tarea puntual compra equity.</x:t>
  </x:si>
  <x:si>
    <x:t xml:space="preserve">HanGo | Evaluación de founders</x:t>
  </x:si>
  <x:si>
    <x:t xml:space="preserve">Evidencia de hitos — fórmulas desde Roadmap semanal</x:t>
  </x:si>
  <x:si>
    <x:t xml:space="preserve">Candidato</x:t>
  </x:si>
  <x:si>
    <x:t xml:space="preserve">Evidencia semana 2</x:t>
  </x:si>
  <x:si>
    <x:t xml:space="preserve">Score S2</x:t>
  </x:si>
  <x:si>
    <x:t xml:space="preserve">Evidencia semana 4</x:t>
  </x:si>
  <x:si>
    <x:t xml:space="preserve">Score S4</x:t>
  </x:si>
  <x:si>
    <x:t xml:space="preserve">Evidencia semana 6</x:t>
  </x:si>
  <x:si>
    <x:t xml:space="preserve">Score S6</x:t>
  </x:si>
  <x:si>
    <x:t xml:space="preserve">Rúbrica reutilizable — Jazmín</x:t>
  </x:si>
  <x:si>
    <x:t xml:space="preserve">Criterio</x:t>
  </x:si>
  <x:si>
    <x:t xml:space="preserve">Peso</x:t>
  </x:si>
  <x:si>
    <x:t xml:space="preserve">Score actual (1–10)</x:t>
  </x:si>
  <x:si>
    <x:t xml:space="preserve">Ponderado</x:t>
  </x:si>
  <x:si>
    <x:t xml:space="preserve">Qué observar</x:t>
  </x:si>
  <x:si>
    <x:t xml:space="preserve">Bandera roja</x:t>
  </x:si>
  <x:si>
    <x:t xml:space="preserve">Semana 0 (22/08/2026)</x:t>
  </x:si>
  <x:si>
    <x:t xml:space="preserve">Semana 1 (29/08/2026)</x:t>
  </x:si>
  <x:si>
    <x:t xml:space="preserve">Semana 2 (05/09/2026)</x:t>
  </x:si>
  <x:si>
    <x:t xml:space="preserve">Semana 3 (12/09/2026)</x:t>
  </x:si>
  <x:si>
    <x:t xml:space="preserve">Semana 4 (19/09/2026)</x:t>
  </x:si>
  <x:si>
    <x:t xml:space="preserve">Semana 5 (26/09/2026)</x:t>
  </x:si>
  <x:si>
    <x:t xml:space="preserve">Semana 6 (03/10/2026)</x:t>
  </x:si>
  <x:si>
    <x:t xml:space="preserve">Semana 7 (10/10/2026)</x:t>
  </x:si>
  <x:si>
    <x:t xml:space="preserve">Disponibilidad sostenida</x:t>
  </x:si>
  <x:si>
    <x:t xml:space="preserve">Dedica horas y avisa cambios</x:t>
  </x:si>
  <x:si>
    <x:t xml:space="preserve">Promete sin reservar tiempo</x:t>
  </x:si>
  <x:si>
    <x:t xml:space="preserve">Autonomía</x:t>
  </x:si>
  <x:si>
    <x:t xml:space="preserve">Investiga y desbloquea con criterio</x:t>
  </x:si>
  <x:si>
    <x:t xml:space="preserve">Se le debe indicar cada paso</x:t>
  </x:si>
  <x:si>
    <x:t xml:space="preserve">Capacidad técnica</x:t>
  </x:si>
  <x:si>
    <x:t xml:space="preserve">Comprende stack, datos, seguridad y deploy</x:t>
  </x:si>
  <x:si>
    <x:t xml:space="preserve">Cambios no verificables</x:t>
  </x:si>
  <x:si>
    <x:t xml:space="preserve">Calidad y cierre</x:t>
  </x:si>
  <x:si>
    <x:t xml:space="preserve">Entrega completa, probada y documentada</x:t>
  </x:si>
  <x:si>
    <x:t xml:space="preserve">Deja fallas críticas</x:t>
  </x:si>
  <x:si>
    <x:t xml:space="preserve">Ownership</x:t>
  </x:si>
  <x:si>
    <x:t xml:space="preserve">Piensa en resultado y propone prioridades</x:t>
  </x:si>
  <x:si>
    <x:t xml:space="preserve">Solo espera instrucciones</x:t>
  </x:si>
  <x:si>
    <x:t xml:space="preserve">Conflicto profesional</x:t>
  </x:si>
  <x:si>
    <x:t xml:space="preserve">Disiente y ejecuta la decisión</x:t>
  </x:si>
  <x:si>
    <x:t xml:space="preserve">Personaliza el desacuerdo</x:t>
  </x:si>
  <x:si>
    <x:t xml:space="preserve">Comunicación</x:t>
  </x:si>
  <x:si>
    <x:t xml:space="preserve">Informa bloqueo y decisión siguiente</x:t>
  </x:si>
  <x:si>
    <x:t xml:space="preserve">Silencio ante retrasos</x:t>
  </x:si>
  <x:si>
    <x:t xml:space="preserve">Aprendizaje</x:t>
  </x:si>
  <x:si>
    <x:t xml:space="preserve">Cierra brechas con criterio</x:t>
  </x:si>
  <x:si>
    <x:t xml:space="preserve">Copia sin comprender</x:t>
  </x:si>
  <x:si>
    <x:t xml:space="preserve">Score ponderado Jazmín</x:t>
  </x:si>
  <x:si>
    <x:t xml:space="preserve">Rúbrica reutilizable — Krishna</x:t>
  </x:si>
  <x:si>
    <x:t xml:space="preserve">Evidencia / nota</x:t>
  </x:si>
  <x:si>
    <x:t xml:space="preserve">Disponibilidad real</x:t>
  </x:si>
  <x:si>
    <x:t xml:space="preserve">Reserva tiempo y sostiene entregas</x:t>
  </x:si>
  <x:si>
    <x:t xml:space="preserve">HanGo queda siempre último</x:t>
  </x:si>
  <x:si>
    <x:t xml:space="preserve">Diseño de investigación</x:t>
  </x:si>
  <x:si>
    <x:t xml:space="preserve">Convierte preguntas en evidencia</x:t>
  </x:si>
  <x:si>
    <x:t xml:space="preserve">Research interesante pero no accionable</x:t>
  </x:si>
  <x:si>
    <x:t xml:space="preserve">Red activada</x:t>
  </x:si>
  <x:si>
    <x:t xml:space="preserve">Consigue conversaciones y siguiente paso</x:t>
  </x:si>
  <x:si>
    <x:t xml:space="preserve">Promete acceso sin reunión</x:t>
  </x:si>
  <x:si>
    <x:t xml:space="preserve">Criterio educativo</x:t>
  </x:si>
  <x:si>
    <x:t xml:space="preserve">Aplica método y reconoce límites</x:t>
  </x:si>
  <x:si>
    <x:t xml:space="preserve">Se presenta como experto sin evidencia</x:t>
  </x:si>
  <x:si>
    <x:t xml:space="preserve">Lidera una función de principio a fin</x:t>
  </x:si>
  <x:si>
    <x:t xml:space="preserve">Solo asesora cuando lo llaman</x:t>
  </x:si>
  <x:si>
    <x:t xml:space="preserve">Capacidad B2B</x:t>
  </x:si>
  <x:si>
    <x:t xml:space="preserve">Distingue comprador, usuario y sponsor</x:t>
  </x:si>
  <x:si>
    <x:t xml:space="preserve">Confunde interés con venta</x:t>
  </x:si>
  <x:si>
    <x:t xml:space="preserve">Debate, registra y cumple</x:t>
  </x:si>
  <x:si>
    <x:t xml:space="preserve">No comunica falta de tiempo</x:t>
  </x:si>
  <x:si>
    <x:t xml:space="preserve">Compromiso futuro</x:t>
  </x:si>
  <x:si>
    <x:t xml:space="preserve">Define qué quiere sostener 2–3 años</x:t>
  </x:si>
  <x:si>
    <x:t xml:space="preserve">Busca un proyecto ocasional</x:t>
  </x:si>
  <x:si>
    <x:t xml:space="preserve">Score ponderado Krishna</x:t>
  </x:si>
  <x:si>
    <x:t xml:space="preserve">HanGo | Backlog MVP</x:t>
  </x:si>
  <x:si>
    <x:t xml:space="preserve">Producto mínimo de cuatro meses</x:t>
  </x:si>
  <x:si>
    <x:t xml:space="preserve">ID</x:t>
  </x:si>
  <x:si>
    <x:t xml:space="preserve">Feature</x:t>
  </x:si>
  <x:si>
    <x:t xml:space="preserve">Módulo</x:t>
  </x:si>
  <x:si>
    <x:t xml:space="preserve">En MVP</x:t>
  </x:si>
  <x:si>
    <x:t xml:space="preserve">Prioridad</x:t>
  </x:si>
  <x:si>
    <x:t xml:space="preserve">Estimación (días)</x:t>
  </x:si>
  <x:si>
    <x:t xml:space="preserve">Bloqueador actual</x:t>
  </x:si>
  <x:si>
    <x:t xml:space="preserve">Criterio de cierre</x:t>
  </x:si>
  <x:si>
    <x:t xml:space="preserve">TEC-01</x:t>
  </x:si>
  <x:si>
    <x:t xml:space="preserve">Repositorio y línea base recuperable</x:t>
  </x:si>
  <x:si>
    <x:t xml:space="preserve">Infraestructura</x:t>
  </x:si>
  <x:si>
    <x:t xml:space="preserve">Sí</x:t>
  </x:si>
  <x:si>
    <x:t xml:space="preserve">Must</x:t>
  </x:si>
  <x:si>
    <x:t xml:space="preserve">En progreso</x:t>
  </x:si>
  <x:si>
    <x:t xml:space="preserve">Cambios locales y trabajo paralelo</x:t>
  </x:si>
  <x:si>
    <x:t xml:space="preserve">Clonar, instalar, levantar y restaurar</x:t>
  </x:si>
  <x:si>
    <x:t xml:space="preserve">TEC-02</x:t>
  </x:si>
  <x:si>
    <x:t xml:space="preserve">Entorno, dependencias y variables documentadas</x:t>
  </x:si>
  <x:si>
    <x:t xml:space="preserve">Setup aún no validado por otra persona</x:t>
  </x:si>
  <x:si>
    <x:t xml:space="preserve">Guía reproducible y secretos fuera del repositorio</x:t>
  </x:si>
  <x:si>
    <x:t xml:space="preserve">TEC-03</x:t>
  </x:si>
  <x:si>
    <x:t xml:space="preserve">Deploy beta y base de datos productiva</x:t>
  </x:si>
  <x:si>
    <x:t xml:space="preserve">Falta auditoría completa</x:t>
  </x:si>
  <x:si>
    <x:t xml:space="preserve">URL beta, migraciones y recuperación probadas</x:t>
  </x:si>
  <x:si>
    <x:t xml:space="preserve">TEC-04</x:t>
  </x:si>
  <x:si>
    <x:t xml:space="preserve">Seguridad, privacidad y retención mínima</x:t>
  </x:si>
  <x:si>
    <x:t xml:space="preserve">No iniciado</x:t>
  </x:si>
  <x:si>
    <x:t xml:space="preserve">Jazmín + Arean</x:t>
  </x:si>
  <x:si>
    <x:t xml:space="preserve">Audio, perfiles y secretos sensibles</x:t>
  </x:si>
  <x:si>
    <x:t xml:space="preserve">Consentimiento, acceso mínimo y borrado documentados</x:t>
  </x:si>
  <x:si>
    <x:t xml:space="preserve">TEC-05</x:t>
  </x:si>
  <x:si>
    <x:t xml:space="preserve">Errores, backups, límites y costo por función</x:t>
  </x:si>
  <x:si>
    <x:t xml:space="preserve">Voz puede gastar saldo rápidamente</x:t>
  </x:si>
  <x:si>
    <x:t xml:space="preserve">Logs útiles, restore test, límites y kill switch</x:t>
  </x:si>
  <x:si>
    <x:t xml:space="preserve">PRO-01</x:t>
  </x:si>
  <x:si>
    <x:t xml:space="preserve">Congelar alcance del MVP</x:t>
  </x:si>
  <x:si>
    <x:t xml:space="preserve">Producto</x:t>
  </x:si>
  <x:si>
    <x:t xml:space="preserve">Demasiados módulos simultáneos</x:t>
  </x:si>
  <x:si>
    <x:t xml:space="preserve">Backlog aprobado; nada entra sin reemplazar otra prioridad</x:t>
  </x:si>
  <x:si>
    <x:t xml:space="preserve">PRO-02</x:t>
  </x:si>
  <x:si>
    <x:t xml:space="preserve">PRO-03</x:t>
  </x:si>
  <x:si>
    <x:t xml:space="preserve">Placement alineado con niveles HanGo</x:t>
  </x:si>
  <x:si>
    <x:t xml:space="preserve">Placement Exam</x:t>
  </x:si>
  <x:si>
    <x:t xml:space="preserve">Cambio reciente desde HSK</x:t>
  </x:si>
  <x:si>
    <x:t xml:space="preserve">Resultado inicial coherente con la ruta y el perfil</x:t>
  </x:si>
  <x:si>
    <x:t xml:space="preserve">PRO-04</x:t>
  </x:si>
  <x:si>
    <x:t xml:space="preserve">Cerrar migración de HSK a niveles HanGo</x:t>
  </x:si>
  <x:si>
    <x:t xml:space="preserve">Transversal</x:t>
  </x:si>
  <x:si>
    <x:t xml:space="preserve">Referencias antiguas en prompts, datos o Progress</x:t>
  </x:si>
  <x:si>
    <x:t xml:space="preserve">Un solo nivel interno; HSK solo como referencia externa</x:t>
  </x:si>
  <x:si>
    <x:t xml:space="preserve">CON-01</x:t>
  </x:si>
  <x:si>
    <x:t xml:space="preserve">CON-02</x:t>
  </x:si>
  <x:si>
    <x:t xml:space="preserve">Listening natural y comprensible por nivel</x:t>
  </x:si>
  <x:si>
    <x:t xml:space="preserve">Learning Journey</x:t>
  </x:si>
  <x:si>
    <x:t xml:space="preserve">Should</x:t>
  </x:si>
  <x:si>
    <x:t xml:space="preserve">Falta comparación consistente de voces</x:t>
  </x:si>
  <x:si>
    <x:t xml:space="preserve">Muestras aprobadas; ElevenLabs solo si mejora costo/calidad</x:t>
  </x:si>
  <x:si>
    <x:t xml:space="preserve">CON-03</x:t>
  </x:si>
  <x:si>
    <x:t xml:space="preserve">Revisión humana del mandarín piloto</x:t>
  </x:si>
  <x:si>
    <x:t xml:space="preserve">Contenido</x:t>
  </x:si>
  <x:si>
    <x:t xml:space="preserve">No hay revisor confirmado</x:t>
  </x:si>
  <x:si>
    <x:t xml:space="preserve">Muestra crítica revisada y cambios trazables</x:t>
  </x:si>
  <x:si>
    <x:t xml:space="preserve">AI-01</x:t>
  </x:si>
  <x:si>
    <x:t xml:space="preserve">AI-02</x:t>
  </x:si>
  <x:si>
    <x:t xml:space="preserve">Han Practice conversa solo en mandarín por nivel</x:t>
  </x:si>
  <x:si>
    <x:t xml:space="preserve">AI Teacher</x:t>
  </x:si>
  <x:si>
    <x:t xml:space="preserve">Puede corregir, cambiar idioma o complicarse</x:t>
  </x:si>
  <x:si>
    <x:t xml:space="preserve">30 conversaciones: naturales, simples y sin modo examen</x:t>
  </x:si>
  <x:si>
    <x:t xml:space="preserve">AI-03</x:t>
  </x:si>
  <x:si>
    <x:t xml:space="preserve">SPK-01</x:t>
  </x:si>
  <x:si>
    <x:t xml:space="preserve">Speaking contextual de lección</x:t>
  </x:si>
  <x:si>
    <x:t xml:space="preserve">Arean + Jazmín</x:t>
  </x:si>
  <x:si>
    <x:t xml:space="preserve">Complejidad, memoria y cierre</x:t>
  </x:si>
  <x:si>
    <x:t xml:space="preserve">Conversación coherente, ajustada al nivel y evaluable</x:t>
  </x:si>
  <x:si>
    <x:t xml:space="preserve">SPK-02</x:t>
  </x:si>
  <x:si>
    <x:t xml:space="preserve">Pronunciación aproximada conserva intención y error</x:t>
  </x:si>
  <x:si>
    <x:t xml:space="preserve">Puede aceptar un error real como correcto</x:t>
  </x:si>
  <x:si>
    <x:t xml:space="preserve">La charla continúa; Reflection conserva el error</x:t>
  </x:si>
  <x:si>
    <x:t xml:space="preserve">SPK-03</x:t>
  </x:si>
  <x:si>
    <x:t xml:space="preserve">REF-01</x:t>
  </x:si>
  <x:si>
    <x:t xml:space="preserve">Reflection da puntajes y feedback reales</x:t>
  </x:si>
  <x:si>
    <x:t xml:space="preserve">Transcripciones o evaluaciones pueden fallar</x:t>
  </x:si>
  <x:si>
    <x:t xml:space="preserve">Scores trazables a respuestas y speaking real</x:t>
  </x:si>
  <x:si>
    <x:t xml:space="preserve">REF-02</x:t>
  </x:si>
  <x:si>
    <x:t xml:space="preserve">Progress representa aprendizaje, no finalización</x:t>
  </x:si>
  <x:si>
    <x:t xml:space="preserve">Progress</x:t>
  </x:si>
  <x:si>
    <x:t xml:space="preserve">Puntajes históricos inconsistentes</x:t>
  </x:si>
  <x:si>
    <x:t xml:space="preserve">Pre/post y progreso no se inflan por completar</x:t>
  </x:si>
  <x:si>
    <x:t xml:space="preserve">BETA-01</x:t>
  </x:si>
  <x:si>
    <x:t xml:space="preserve">Beta cerrada de 10–20 estudiantes</x:t>
  </x:si>
  <x:si>
    <x:t xml:space="preserve">Beta</x:t>
  </x:si>
  <x:si>
    <x:t xml:space="preserve">Primero cerrar ruta crítica</x:t>
  </x:si>
  <x:si>
    <x:t xml:space="preserve">Usuarios completan, vuelven y reportan problemas</x:t>
  </x:si>
  <x:si>
    <x:t xml:space="preserve">RES-01</x:t>
  </x:si>
  <x:si>
    <x:t xml:space="preserve">12 entrevistas de estudiantes/profesores</x:t>
  </x:si>
  <x:si>
    <x:t xml:space="preserve">Investigación</x:t>
  </x:si>
  <x:si>
    <x:t xml:space="preserve">Muestra aún no reclutada</x:t>
  </x:si>
  <x:si>
    <x:t xml:space="preserve">Dolor, alternativa, retorno y disposición a pagar registrados</x:t>
  </x:si>
  <x:si>
    <x:t xml:space="preserve">FIN-01</x:t>
  </x:si>
  <x:si>
    <x:t xml:space="preserve">Medir costo por usuario activo</x:t>
  </x:si>
  <x:si>
    <x:t xml:space="preserve">Costos</x:t>
  </x:si>
  <x:si>
    <x:t xml:space="preserve">WRI-01</x:t>
  </x:si>
  <x:si>
    <x:t xml:space="preserve">Writing por fotos con evaluación</x:t>
  </x:si>
  <x:si>
    <x:t xml:space="preserve">Writing Lab</x:t>
  </x:si>
  <x:si>
    <x:t xml:space="preserve">Condicional</x:t>
  </x:si>
  <x:si>
    <x:t xml:space="preserve">Costo y lectura de imágenes</x:t>
  </x:si>
  <x:si>
    <x:t xml:space="preserve">Flujo legible y con límite; no bloquea beta</x:t>
  </x:si>
  <x:si>
    <x:t xml:space="preserve">LAB-01</x:t>
  </x:si>
  <x:si>
    <x:t xml:space="preserve">Practice with Han en Speaking Lab</x:t>
  </x:si>
  <x:si>
    <x:t xml:space="preserve">Speaking Lab</x:t>
  </x:si>
  <x:si>
    <x:t xml:space="preserve">Aún requiere QA de ruido y contexto</x:t>
  </x:si>
  <x:si>
    <x:t xml:space="preserve">Sesión estable sin afectar Speaking de lección</x:t>
  </x:si>
  <x:si>
    <x:t xml:space="preserve">B2B-01</x:t>
  </x:si>
  <x:si>
    <x:t xml:space="preserve">Piloto institucional manual</x:t>
  </x:si>
  <x:si>
    <x:t xml:space="preserve">Instituciones</x:t>
  </x:si>
  <x:si>
    <x:t xml:space="preserve">Could</x:t>
  </x:si>
  <x:si>
    <x:t xml:space="preserve">Disponibilidad y demanda no confirmadas</x:t>
  </x:si>
  <x:si>
    <x:t xml:space="preserve">Un contacto acepta siguiente paso sin construir portal</x:t>
  </x:si>
  <x:si>
    <x:t xml:space="preserve">B2B-02</x:t>
  </x:si>
  <x:si>
    <x:t xml:space="preserve">Portal Teacher / Institutions</x:t>
  </x:si>
  <x:si>
    <x:t xml:space="preserve">Después</x:t>
  </x:si>
  <x:si>
    <x:t xml:space="preserve">Krishna + Jazmín</x:t>
  </x:si>
  <x:si>
    <x:t xml:space="preserve">Problema docente no validado</x:t>
  </x:si>
  <x:si>
    <x:t xml:space="preserve">Solo entra después de piloto manual</x:t>
  </x:si>
  <x:si>
    <x:t xml:space="preserve">PAY-01</x:t>
  </x:si>
  <x:si>
    <x:t xml:space="preserve">Billing y suscripciones</x:t>
  </x:si>
  <x:si>
    <x:t xml:space="preserve">Monetización</x:t>
  </x:si>
  <x:si>
    <x:t xml:space="preserve">No hay disposición a pagar validada</x:t>
  </x:si>
  <x:si>
    <x:t xml:space="preserve">Solo entra después de señal de pago</x:t>
  </x:si>
  <x:si>
    <x:t xml:space="preserve">COM-01</x:t>
  </x:si>
  <x:si>
    <x:t xml:space="preserve">Comunidad o marketplace</x:t>
  </x:si>
  <x:si>
    <x:t xml:space="preserve">Comunidad</x:t>
  </x:si>
  <x:si>
    <x:t xml:space="preserve">No hay masa crítica</x:t>
  </x:si>
  <x:si>
    <x:t xml:space="preserve">Solo entra con usuarios activos recurrentes</x:t>
  </x:si>
  <x:si>
    <x:t xml:space="preserve">APP-01</x:t>
  </x:si>
  <x:si>
    <x:t xml:space="preserve">Aplicaciones móviles nativas</x:t>
  </x:si>
  <x:si>
    <x:t xml:space="preserve">Distribución</x:t>
  </x:si>
  <x:si>
    <x:t xml:space="preserve">Web aún no valida retorno</x:t>
  </x:si>
  <x:si>
    <x:t xml:space="preserve">Solo entra tras retención demostrada</x:t>
  </x:si>
  <x:si>
    <x:t xml:space="preserve">HanGo | Seguimiento semanal</x:t>
  </x:si>
  <x:si>
    <x:t xml:space="preserve">Semana actual</x:t>
  </x:si>
  <x:si>
    <x:t xml:space="preserve">Plan de 16 semanas</x:t>
  </x:si>
  <x:si>
    <x:t xml:space="preserve">Clave</x:t>
  </x:si>
  <x:si>
    <x:t xml:space="preserve">Semana</x:t>
  </x:si>
  <x:si>
    <x:t xml:space="preserve">Persona</x:t>
  </x:si>
  <x:si>
    <x:t xml:space="preserve">Comprometido</x:t>
  </x:si>
  <x:si>
    <x:t xml:space="preserve">Completado</x:t>
  </x:si>
  <x:si>
    <x:t xml:space="preserve">Horas reales</x:t>
  </x:si>
  <x:si>
    <x:t xml:space="preserve">Bloqueadores</x:t>
  </x:si>
  <x:si>
    <x:t xml:space="preserve">Próxima acción</x:t>
  </x:si>
  <x:si>
    <x:r>
      <x:t xml:space="preserve">*Producto: Define qué entra y qué NO entra en el MVP. ✓
*Learning/content ✓
-Continúa estructurando y probando ejercicios, módulos, AI Teacher y contenido que alimentará el producto. ✓
*</x:t>
    </x:r>
    <x:r>
      <x:rPr>
        <x:sz val="11"/>
        <x:color rgb="FFFF0000"/>
        <x:rFont val="Carlito"/>
      </x:rPr>
      <x:t xml:space="preserve">Business</x:t>
    </x:r>
    <x:r>
      <x:rPr>
        <x:sz val="11"/>
        <x:color rgb="FF27272A"/>
        <x:rFont val="Carlito"/>
      </x:rPr>
      <x:t xml:space="preserve">: Usuario objetivo inicial; pricing hipotético; B2C vs B2B; qué instituciones serían primeros targets; hipótesis que después podrías validar con Krishna.
*Organización: Roadmap ✓</x:t>
    </x:r>
  </x:si>
  <x:si>
    <x:r>
      <x:rPr>
        <x:b/>
        <x:sz val="11"/>
        <x:color rgb="FF27272A"/>
        <x:rFont val="Carlito"/>
      </x:rPr>
      <x:t xml:space="preserve">Producto</x:t>
    </x:r>
    <x:r>
      <x:rPr>
        <x:sz val="11"/>
        <x:color rgb="FF27272A"/>
        <x:rFont val="Carlito"/>
      </x:rPr>
      <x:t xml:space="preserve">
-Se agregó en writing, tomar fotos y evaluar (niveles), pendiente de evaluar costos y funcionalidad.
-Listening, audios más realistas, mayores entonaciones (Mejora: ElevenLabs)
-Speaking: Correcciones en speaking with Han.
-Speaking: Si la palabra se pronuncia mal, asimila el contexto, pero lo pone en feedback. (probabilidades de transcripción)
-Han: El tutor ahora habla full chino para practicar (Acorde al nivel)
-Cambio  niveles (HSK 3.0 tenia un % no relevante). Ya no se mediría por HSK.
-Han Companion
-Han Vocabulary
-Shop y personajes con prendas de vestir
-Leaderboard por Puntos
-Sistema de HanCoins</x:t>
    </x:r>
  </x:si>
  <x:si>
    <x:t xml:space="preserve">Implementado no equivale a validado
HSK 3.0 es muy amplio</x:t>
  </x:si>
  <x:si>
    <x:t xml:space="preserve">Hecho</x:t>
  </x:si>
  <x:si>
    <x:t xml:space="preserve">Presentar dos cambios para revisión y alcance final</x:t>
  </x:si>
  <x:si>
    <x:t xml:space="preserve">Entender repo, setup, dependencias, variables, Prisma/DB, arquitectura; proponer top 3 y ownership.
Qué sabes de: 
¿Cómo entiende actualmente la arquitectura de HanGo?
¿Qué cosas técnicas considera que están bien?
¿Qué cosas le preocupan o cambiaría?
¿Qué falta para tener un MVP realmente funcional?
Si estuvieras a cargo de tecnología, ¿cuáles serían las primeras 3 prioridades?
¿Qué parte del proyecto le gustaría tomar como primera responsabilidad?
</x:t>
  </x:si>
  <x:si>
    <x:t xml:space="preserve">Evidencia se revisa el sábado</x:t>
  </x:si>
  <x:si>
    <x:t xml:space="preserve">Demo, diagnóstico y primera responsabilidad</x:t>
  </x:si>
  <x:si>
    <x:t xml:space="preserve">Cerrar la ruta piloto de 6–8 lecciones y el usuario objetivo inicial. Preparar lista de testers y revisor de mandarín.</x:t>
  </x:si>
  <x:si>
    <x:t xml:space="preserve">Levantar el proyecto sin ayuda, documentar setup, mapa de arquitectura y tres prioridades técnicas.</x:t>
  </x:si>
  <x:si>
    <x:t xml:space="preserve">Accesos, variables o dependencias incompletas.</x:t>
  </x:si>
  <x:si>
    <x:t xml:space="preserve">Presentar diagnóstico y ownership</x:t>
  </x:si>
  <x:si>
    <x:t xml:space="preserve">Definir checklist de calidad de contenido y guion de pruebas. Coordinar revisión lingüística del piloto.</x:t>
  </x:si>
  <x:si>
    <x:t xml:space="preserve">Definir staging: Vercel, Postgres, storage, email, monitoreo, backups y variables de producción.</x:t>
  </x:si>
  <x:si>
    <x:t xml:space="preserve">Proveedores todavía sin decisión.</x:t>
  </x:si>
  <x:si>
    <x:t xml:space="preserve">Aprobar arquitectura de staging</x:t>
  </x:si>
  <x:si>
    <x:t xml:space="preserve">Solo si inicia prueba: realizar 2–3 entrevistas exploratorias con estudiantes o profesores.</x:t>
  </x:si>
  <x:si>
    <x:t xml:space="preserve">Prueba aún no confirmada.</x:t>
  </x:si>
  <x:si>
    <x:t xml:space="preserve">Registrar evidencia, no conclusiones</x:t>
  </x:si>
  <x:si>
    <x:t xml:space="preserve">Probar de punta a punta la ruta piloto y priorizar errores por impacto en aprendizaje.</x:t>
  </x:si>
  <x:si>
    <x:t xml:space="preserve">Speaking y Han pueden consumir todo el tiempo de QA.</x:t>
  </x:si>
  <x:si>
    <x:t xml:space="preserve">Cerrar solo bloqueadores del core</x:t>
  </x:si>
  <x:si>
    <x:t xml:space="preserve">Desplegar staging y conectar servicios reales: base de datos, email, storage, OpenAI, monitoreo y backups.</x:t>
  </x:si>
  <x:si>
    <x:t xml:space="preserve">Persistencia de archivos y secretos.</x:t>
  </x:si>
  <x:si>
    <x:t xml:space="preserve">Demostrar flujo productivo completo</x:t>
  </x:si>
  <x:si>
    <x:t xml:space="preserve">Si continúa: resumir entrevistas y proponer una hipótesis que valga probar, sin pedir desarrollo.</x:t>
  </x:si>
  <x:si>
    <x:t xml:space="preserve">Muestra pequeña.</x:t>
  </x:si>
  <x:si>
    <x:t xml:space="preserve">Revisión de evidencia</x:t>
  </x:si>
  <x:si>
    <x:t xml:space="preserve">Realizar alpha observada con 5 usuarios adecuados. No explicar la interfaz salvo bloqueo real.</x:t>
  </x:si>
  <x:si>
    <x:t xml:space="preserve">Testers que no coincidan con el usuario objetivo.</x:t>
  </x:si>
  <x:si>
    <x:t xml:space="preserve">Observar la primera sesión</x:t>
  </x:si>
  <x:si>
    <x:t xml:space="preserve">Acompañar alpha con logs, soporte técnico y medición de costo por función.</x:t>
  </x:si>
  <x:si>
    <x:t xml:space="preserve">Falta de instrumentación.</x:t>
  </x:si>
  <x:si>
    <x:t xml:space="preserve">Entregar reporte técnico de alpha</x:t>
  </x:si>
  <x:si>
    <x:t xml:space="preserve">Si está activo: ayudar a reclutar y observar 1–2 pruebas, sin vender la idea durante la sesión.</x:t>
  </x:si>
  <x:si>
    <x:t xml:space="preserve">Sesgo de confirmación.</x:t>
  </x:si>
  <x:si>
    <x:t xml:space="preserve">Registrar frases textuales</x:t>
  </x:si>
  <x:si>
    <x:t xml:space="preserve">Elegir los tres problemas más graves de la alpha y corregirlos. Congelar cualquier mejora cosmética.</x:t>
  </x:si>
  <x:si>
    <x:t xml:space="preserve">Scope creep por feedback aislado.</x:t>
  </x:si>
  <x:si>
    <x:t xml:space="preserve">Revisión de cierre del primer ciclo</x:t>
  </x:si>
  <x:si>
    <x:t xml:space="preserve">Corregir fallas críticas de estabilidad, datos y costos. Verificar regresiones.</x:t>
  </x:si>
  <x:si>
    <x:t xml:space="preserve">Arreglos rápidos sin causa raíz.</x:t>
  </x:si>
  <x:si>
    <x:t xml:space="preserve">Aprobar o bloquear segunda alpha</x:t>
  </x:si>
  <x:si>
    <x:t xml:space="preserve">Si está activo: sintetizar patrones, no una lista de opiniones.</x:t>
  </x:si>
  <x:si>
    <x:t xml:space="preserve">Pocos casos.</x:t>
  </x:si>
  <x:si>
    <x:t xml:space="preserve">Presentar síntesis de una página</x:t>
  </x:si>
  <x:si>
    <x:t xml:space="preserve">Ejecutar segunda alpha con 5–10 usuarios y comparar contra la primera.</x:t>
  </x:si>
  <x:si>
    <x:t xml:space="preserve">Cambiar demasiadas variables a la vez.</x:t>
  </x:si>
  <x:si>
    <x:t xml:space="preserve">Cerrar segunda cohorte</x:t>
  </x:si>
  <x:si>
    <x:t xml:space="preserve">Probar móviles y navegadores reales; vigilar fallos de voz, archivos y sesiones.</x:t>
  </x:si>
  <x:si>
    <x:t xml:space="preserve">Cobertura limitada de hardware.</x:t>
  </x:si>
  <x:si>
    <x:t xml:space="preserve">Cerrar fallas de alta severidad</x:t>
  </x:si>
  <x:si>
    <x:t xml:space="preserve">Si está activo: entrevistar profesores sobre práctica fuera de clase y workflow actual.</x:t>
  </x:si>
  <x:si>
    <x:t xml:space="preserve">Interés no equivale a adopción.</x:t>
  </x:si>
  <x:si>
    <x:t xml:space="preserve">Documentar workflow actual</x:t>
  </x:si>
  <x:si>
    <x:t xml:space="preserve">Realizar go/no-go de beta con evidencia de uso, aprendizaje y comprensión del producto.</x:t>
  </x:si>
  <x:si>
    <x:t xml:space="preserve">Avanzar por calendario y no por evidencia.</x:t>
  </x:si>
  <x:si>
    <x:t xml:space="preserve">Actualizar decisión de lanzamiento</x:t>
  </x:si>
  <x:si>
    <x:t xml:space="preserve">Auditar readiness: seguridad, backups, límites, monitoreo, soporte y capacidad.</x:t>
  </x:si>
  <x:si>
    <x:t xml:space="preserve">Riesgos no observables.</x:t>
  </x:si>
  <x:si>
    <x:t xml:space="preserve">Dar recomendación técnica de go/no-go</x:t>
  </x:si>
  <x:si>
    <x:t xml:space="preserve">Si está activo: decidir si su prueba continúa y con qué responsabilidad concreta.</x:t>
  </x:si>
  <x:si>
    <x:t xml:space="preserve">Responsabilidad difusa.</x:t>
  </x:si>
  <x:si>
    <x:t xml:space="preserve">Decisión de relación</x:t>
  </x:si>
  <x:si>
    <x:t xml:space="preserve">Abrir beta cerrada a 10–20 usuarios con mensaje de bienvenida y canal de feedback.</x:t>
  </x:si>
  <x:si>
    <x:t xml:space="preserve">Reclutar volumen antes de asegurar calidad.</x:t>
  </x:si>
  <x:si>
    <x:t xml:space="preserve">Activar primera cohorte beta</x:t>
  </x:si>
  <x:si>
    <x:t xml:space="preserve">Monitorear producción, errores de proveedores, base de datos y consumo de IA.</x:t>
  </x:si>
  <x:si>
    <x:t xml:space="preserve">Fallos silenciosos.</x:t>
  </x:si>
  <x:si>
    <x:t xml:space="preserve">Publicar parte técnico semanal</x:t>
  </x:si>
  <x:si>
    <x:t xml:space="preserve">Si está activo: apoyar reclutamiento de perfiles adecuados o un contacto institucional manual.</x:t>
  </x:si>
  <x:si>
    <x:t xml:space="preserve">Audiencia no objetivo.</x:t>
  </x:si>
  <x:si>
    <x:t xml:space="preserve">Registrar canal y conversión</x:t>
  </x:si>
  <x:si>
    <x:t xml:space="preserve">Analizar abandono, finalización y uso de Han, Speaking y Writing. Entrevistar usuarios activos e inactivos.</x:t>
  </x:si>
  <x:si>
    <x:t xml:space="preserve">Optimizar por comentarios sin revisar comportamiento.</x:t>
  </x:si>
  <x:si>
    <x:t xml:space="preserve">Priorizar por evidencia</x:t>
  </x:si>
  <x:si>
    <x:t xml:space="preserve">Reconciliar costo real por usuario y por módulo; ajustar límites y caché.</x:t>
  </x:si>
  <x:si>
    <x:t xml:space="preserve">Uso de pruebas mezclado con uso real.</x:t>
  </x:si>
  <x:si>
    <x:t xml:space="preserve">Proponer presupuesto operativo</x:t>
  </x:si>
  <x:si>
    <x:t xml:space="preserve">Si está activo: entrevistar un profesor o institución sobre resultados de la beta.</x:t>
  </x:si>
  <x:si>
    <x:t xml:space="preserve">Construir antes de validar.</x:t>
  </x:si>
  <x:si>
    <x:t xml:space="preserve">Decidir si existe piloto manual</x:t>
  </x:si>
  <x:si>
    <x:t xml:space="preserve">Medir una señal simple de aprendizaje: pre/post, misión o mejora de desempeño.</x:t>
  </x:si>
  <x:si>
    <x:t xml:space="preserve">Confundir finalización con aprendizaje.</x:t>
  </x:si>
  <x:si>
    <x:t xml:space="preserve">Cerrar primera medición educativa</x:t>
  </x:si>
  <x:si>
    <x:t xml:space="preserve">Verificar que Progress y Reflection usan datos reales y no inflan resultados.</x:t>
  </x:si>
  <x:si>
    <x:t xml:space="preserve">Datos históricos inconsistentes.</x:t>
  </x:si>
  <x:si>
    <x:t xml:space="preserve">Firmar integridad de medición</x:t>
  </x:si>
  <x:si>
    <x:t xml:space="preserve">Si está activo: revisar la lectura educativa de los resultados y sus límites.</x:t>
  </x:si>
  <x:si>
    <x:t xml:space="preserve">Conclusiones con muestra pequeña.</x:t>
  </x:si>
  <x:si>
    <x:t xml:space="preserve">Revisión metodológica</x:t>
  </x:si>
  <x:si>
    <x:t xml:space="preserve">Realizar entrevistas de pricing y decidir hipótesis principal B2C o B2B para el siguiente ciclo.</x:t>
  </x:si>
  <x:si>
    <x:t xml:space="preserve">Preguntar cuánto pagarían sin compromiso real.</x:t>
  </x:si>
  <x:si>
    <x:t xml:space="preserve">Cerrar hipótesis comercial</x:t>
  </x:si>
  <x:si>
    <x:t xml:space="preserve">Estimar impacto técnico y de soporte de la decisión B2C/B2B, sin construir billing ni portal.</x:t>
  </x:si>
  <x:si>
    <x:t xml:space="preserve">Convertir una hipótesis en arquitectura prematura.</x:t>
  </x:si>
  <x:si>
    <x:t xml:space="preserve">Entregar recomendación técnica</x:t>
  </x:si>
  <x:si>
    <x:t xml:space="preserve">Si está activo: validar disposición institucional con un siguiente paso concreto.</x:t>
  </x:si>
  <x:si>
    <x:t xml:space="preserve">Interés cordial sin compromiso.</x:t>
  </x:si>
  <x:si>
    <x:t xml:space="preserve">Definir si B2B merece otra prueba</x:t>
  </x:si>
  <x:si>
    <x:t xml:space="preserve">Congelar alcance de lanzamiento y preparar soporte, privacidad y comunicación de limitaciones.</x:t>
  </x:si>
  <x:si>
    <x:t xml:space="preserve">Agregar ideas antes del cierre.</x:t>
  </x:si>
  <x:si>
    <x:t xml:space="preserve">Publicar alcance de lanzamiento</x:t>
  </x:si>
  <x:si>
    <x:t xml:space="preserve">Reforzar seguridad, retención de datos, rate limits, backups y recuperación.</x:t>
  </x:si>
  <x:si>
    <x:t xml:space="preserve">Datos personales y grabaciones.</x:t>
  </x:si>
  <x:si>
    <x:t xml:space="preserve">Cerrar checklist de seguridad</x:t>
  </x:si>
  <x:si>
    <x:t xml:space="preserve">Si está activo: preparar apoyo de research o partnerships para el lanzamiento controlado.</x:t>
  </x:si>
  <x:si>
    <x:t xml:space="preserve">Rol sin entregable.</x:t>
  </x:si>
  <x:si>
    <x:t xml:space="preserve">Confirmar responsabilidad</x:t>
  </x:si>
  <x:si>
    <x:t xml:space="preserve">Cerrar revisión humana del mandarín piloto y prueba final en dispositivos reales.</x:t>
  </x:si>
  <x:si>
    <x:t xml:space="preserve">Revisión parcial presentada como completa.</x:t>
  </x:si>
  <x:si>
    <x:t xml:space="preserve">Aprobar contenido de lanzamiento</x:t>
  </x:si>
  <x:si>
    <x:t xml:space="preserve">Ejecutar regresión final de la ruta crítica y documentar respuesta a incidentes.</x:t>
  </x:si>
  <x:si>
    <x:t xml:space="preserve">Cambios tardíos.</x:t>
  </x:si>
  <x:si>
    <x:t xml:space="preserve">Dar recomendación final de lanzamiento</x:t>
  </x:si>
  <x:si>
    <x:t xml:space="preserve">Si está activo: revisar material dirigido a profesores o instituciones, sin prometer funciones futuras.</x:t>
  </x:si>
  <x:si>
    <x:t xml:space="preserve">Sobreventa.</x:t>
  </x:si>
  <x:si>
    <x:t xml:space="preserve">Aprobar mensaje externo</x:t>
  </x:si>
  <x:si>
    <x:t xml:space="preserve">Lanzar de manera controlada hasta 20–50 usuarios acumulados y mantener soporte cercano.</x:t>
  </x:si>
  <x:si>
    <x:t xml:space="preserve">Abrir más rápido de lo que se puede atender.</x:t>
  </x:si>
  <x:si>
    <x:t xml:space="preserve">Operar la primera semana</x:t>
  </x:si>
  <x:si>
    <x:t xml:space="preserve">Operar producción: errores, costos, backups, disponibilidad y proveedores.</x:t>
  </x:si>
  <x:si>
    <x:t xml:space="preserve">Incidentes sin owner.</x:t>
  </x:si>
  <x:si>
    <x:t xml:space="preserve">Mantener estabilidad</x:t>
  </x:si>
  <x:si>
    <x:t xml:space="preserve">Si está activo: probar un canal de captación o piloto manual medible.</x:t>
  </x:si>
  <x:si>
    <x:t xml:space="preserve">Métrica de alcance sin activación.</x:t>
  </x:si>
  <x:si>
    <x:t xml:space="preserve">Registrar resultado del canal</x:t>
  </x:si>
  <x:si>
    <x:t xml:space="preserve">Evaluar el ciclo completo y decidir el siguiente trimestre: continuar, reducir, cambiar segmento o monetizar.</x:t>
  </x:si>
  <x:si>
    <x:t xml:space="preserve">Confundir esfuerzo invertido con señal de mercado.</x:t>
  </x:si>
  <x:si>
    <x:t xml:space="preserve">Cerrar revisión trimestral</x:t>
  </x:si>
  <x:si>
    <x:t xml:space="preserve">Entregar retrospectiva técnica, deuda priorizada y capacidad real del siguiente ciclo.</x:t>
  </x:si>
  <x:si>
    <x:t xml:space="preserve">Backlog técnico sin orden.</x:t>
  </x:si>
  <x:si>
    <x:t xml:space="preserve">Proponer top 3 técnico</x:t>
  </x:si>
  <x:si>
    <x:t xml:space="preserve">Si está activo: decidir continuidad, rol y compromiso con base en evidencia de su prueba.</x:t>
  </x:si>
  <x:si>
    <x:t xml:space="preserve">Postergar una conversación difícil.</x:t>
  </x:si>
  <x:si>
    <x:t xml:space="preserve">Cerrar evaluación</x:t>
  </x:si>
  <x:si>
    <x:t xml:space="preserve">HanGo | Roadmap de 4 meses</x:t>
  </x:si>
  <x:si>
    <x:t xml:space="preserve">Mes actual</x:t>
  </x:si>
  <x:si>
    <x:t xml:space="preserve">De base técnica a primera instancia del MVP</x:t>
  </x:si>
  <x:si>
    <x:t xml:space="preserve">Mes</x:t>
  </x:si>
  <x:si>
    <x:t xml:space="preserve">Tema</x:t>
  </x:si>
  <x:si>
    <x:t xml:space="preserve">Objetivo</x:t>
  </x:si>
  <x:si>
    <x:t xml:space="preserve">Entregables clave</x:t>
  </x:si>
  <x:si>
    <x:t xml:space="preserve">Riesgo principal</x:t>
  </x:si>
  <x:si>
    <x:t xml:space="preserve">Cómo se ve el éxito</x:t>
  </x:si>
  <x:si>
    <x:t xml:space="preserve">Enfoque y base</x:t>
  </x:si>
  <x:si>
    <x:t xml:space="preserve">Cerrar alcance, setup y calidad mínima</x:t>
  </x:si>
  <x:si>
    <x:t xml:space="preserve">Backlog congelado; Jazmín levanta el sistema; ruta piloto definida; niveles HanGo auditados</x:t>
  </x:si>
  <x:si>
    <x:t xml:space="preserve">Seguir agregando features</x:t>
  </x:si>
  <x:si>
    <x:t xml:space="preserve">Equipo entiende el producto y existe una beta técnica reproducible</x:t>
  </x:si>
  <x:si>
    <x:t xml:space="preserve">Beta cerrada</x:t>
  </x:si>
  <x:si>
    <x:t xml:space="preserve">Probar el core con usuarios reales</x:t>
  </x:si>
  <x:si>
    <x:t xml:space="preserve">10–20 estudiantes; 6–10 lecciones; Han y Speaking estables; costos medidos</x:t>
  </x:si>
  <x:si>
    <x:t xml:space="preserve">Fallas de voz o contenido destruyen confianza</x:t>
  </x:si>
  <x:si>
    <x:t xml:space="preserve">Usuarios completan la ruta, algunos regresan y el costo es visible</x:t>
  </x:si>
  <x:si>
    <x:t xml:space="preserve">Retención y aprendizaje</x:t>
  </x:si>
  <x:si>
    <x:t xml:space="preserve">Corregir solo lo que afecta valor y retorno</x:t>
  </x:si>
  <x:si>
    <x:t xml:space="preserve">Segunda cohorte; pre/post; entrevistas; propuesta y pricing exploratorios</x:t>
  </x:si>
  <x:si>
    <x:t xml:space="preserve">Optimizar uso sin demostrar aprendizaje</x:t>
  </x:si>
  <x:si>
    <x:t xml:space="preserve">Se observa mejora y retorno voluntario en un segmento concreto</x:t>
  </x:si>
  <x:si>
    <x:t xml:space="preserve">MVP controlado</x:t>
  </x:si>
  <x:si>
    <x:t xml:space="preserve">Publicar una primera instancia pequeña y operable</x:t>
  </x:si>
  <x:si>
    <x:t xml:space="preserve">Core pulido; soporte; límites; decisión B2C/B2B; go/no-go del siguiente trimestre</x:t>
  </x:si>
  <x:si>
    <x:t xml:space="preserve">Lanzar amplio sin capacidad de soporte</x:t>
  </x:si>
  <x:si>
    <x:t xml:space="preserve">20–50 usuarios acumulados y decisión basada en evidencia</x:t>
  </x:si>
  <x:si>
    <x:t xml:space="preserve">Regla: el mes cuatro es la primera instancia del MVP, no una plataforma completa. Si los meses uno a tres no cumplen sus puertas, se retrasa o reduce el alcance; no se compensa construyendo más.</x:t>
  </x:si>
  <x:si>
    <x:t xml:space="preserve">Límite de la primera versión</x:t>
  </x:si>
  <x:si>
    <x:t xml:space="preserve">Obligatorio</x:t>
  </x:si>
  <x:si>
    <x:t xml:space="preserve">Fuera del MVP</x:t>
  </x:si>
  <x:si>
    <x:t xml:space="preserve">HanGo | Costos por usuario</x:t>
  </x:si>
  <x:si>
    <x:t xml:space="preserve">Modelo simple para decidir límites antes de escalar. Las celdas amarillas son supuestos; reconciliar semanalmente con Usage y facturas.</x:t>
  </x:si>
  <x:si>
    <x:t xml:space="preserve">Usuarios activos para prorrateo</x:t>
  </x:si>
  <x:si>
    <x:t xml:space="preserve">Infraestructura fija mensual (USD)</x:t>
  </x:si>
  <x:si>
    <x:t xml:space="preserve">Supuestos por usuario activo / mes</x:t>
  </x:si>
  <x:si>
    <x:t xml:space="preserve">Concepto</x:t>
  </x:si>
  <x:si>
    <x:t xml:space="preserve">Costo unitario</x:t>
  </x:si>
  <x:si>
    <x:t xml:space="preserve">Uso esperado</x:t>
  </x:si>
  <x:si>
    <x:t xml:space="preserve">Costo mensual estimado</x:t>
  </x:si>
  <x:si>
    <x:t xml:space="preserve">Nota / fuente</x:t>
  </x:si>
  <x:si>
    <x:t xml:space="preserve">USD/min supuesto conservador; medir en https://platform.openai.com/usage</x:t>
  </x:si>
  <x:si>
    <x:t xml:space="preserve">TTS cacheado</x:t>
  </x:si>
  <x:si>
    <x:t xml:space="preserve">USD/min supuesto editable</x:t>
  </x:si>
  <x:si>
    <x:t xml:space="preserve">STT</x:t>
  </x:si>
  <x:si>
    <x:t xml:space="preserve">Writing con visión</x:t>
  </x:si>
  <x:si>
    <x:t xml:space="preserve">Dos evaluaciones/mes; no reintentar automáticamente</x:t>
  </x:si>
  <x:si>
    <x:t xml:space="preserve">Email + storage</x:t>
  </x:si>
  <x:si>
    <x:t xml:space="preserve">Prorrateo aproximado; Resend/R2 pueden iniciar en free tier</x:t>
  </x:si>
  <x:si>
    <x:t xml:space="preserve">Hosting + DB prorrateado</x:t>
  </x:si>
  <x:si>
    <x:t xml:space="preserve">Infraestructura fija ÷ usuarios activos</x:t>
  </x:si>
  <x:si>
    <x:t xml:space="preserve">Contingencia</x:t>
  </x:si>
  <x:si>
    <x:t xml:space="preserve">Margen para reintentos y variación</x:t>
  </x:si>
  <x:si>
    <x:t xml:space="preserve">TOTAL POR USUARIO</x:t>
  </x:si>
  <x:si>
    <x:t xml:space="preserve">Usar para guardrails, no como precio de venta</x:t>
  </x:si>
  <x:si>
    <x:t xml:space="preserve">HanGo | Inversión</x:t>
  </x:si>
  <x:si>
    <x:t xml:space="preserve">Herramienta</x:t>
  </x:si>
  <x:si>
    <x:t xml:space="preserve">Fecha</x:t>
  </x:si>
  <x:si>
    <x:t xml:space="preserve">Detalle</x:t>
  </x:si>
  <x:si>
    <x:t xml:space="preserve">Uso</x:t>
  </x:si>
  <x:si>
    <x:t xml:space="preserve">USD</x:t>
  </x:si>
  <x:si>
    <x:t xml:space="preserve">PEN</x:t>
  </x:si>
  <x:si>
    <x:t xml:space="preserve">Total</x:t>
  </x:si>
  <x:si>
    <x:t xml:space="preserve">Claude</x:t>
  </x:si>
  <x:si>
    <x:t xml:space="preserve">Principal</x:t>
  </x:si>
  <x:si>
    <x:t xml:space="preserve">OpenAI</x:t>
  </x:si>
  <x:si>
    <x:t xml:space="preserve">IA Han</x:t>
  </x:si>
  <x:si>
    <x:t xml:space="preserve">Prisma agosto</x:t>
  </x:si>
  <x:si>
    <x:t xml:space="preserve">Prima mensual USD 10</x:t>
  </x:si>
  <x:si>
    <x:t xml:space="preserve">Base de datos, operaciones</x:t>
  </x:si>
  <x:si>
    <x:t xml:space="preserve">Prisma septiembre</x:t>
  </x:si>
  <x:si>
    <x:t xml:space="preserve">HanGo | Próximas ideas</x:t>
  </x:si>
  <x:si>
    <x:t xml:space="preserve">Cartera ordenada por horizonte y familia</x:t>
  </x:si>
  <x:si>
    <x:t xml:space="preserve">Familia HanGo</x:t>
  </x:si>
  <x:si>
    <x:t xml:space="preserve">Producto / idea</x:t>
  </x:si>
  <x:si>
    <x:t xml:space="preserve">Qué incluye</x:t>
  </x:si>
  <x:si>
    <x:t xml:space="preserve">Horizonte</x:t>
  </x:si>
  <x:si>
    <x:t xml:space="preserve">Compromiso</x:t>
  </x:si>
  <x:si>
    <x:t xml:space="preserve">Dependencia principal</x:t>
  </x:si>
  <x:si>
    <x:t xml:space="preserve">Primera validación</x:t>
  </x:si>
  <x:si>
    <x:t xml:space="preserve">Señal para construir</x:t>
  </x:si>
  <x:si>
    <x:t xml:space="preserve">Owner sugerido</x:t>
  </x:si>
  <x:si>
    <x:t xml:space="preserve">Estado / decisión</x:t>
  </x:si>
  <x:si>
    <x:t xml:space="preserve">MVP-01</x:t>
  </x:si>
  <x:si>
    <x:t xml:space="preserve">HanGo Learn</x:t>
  </x:si>
  <x:si>
    <x:t xml:space="preserve">Producción y beta</x:t>
  </x:si>
  <x:si>
    <x:t xml:space="preserve">Hosting, Postgres, storage, email, monitoreo, backups, analytics, privacidad y canal de feedback.</x:t>
  </x:si>
  <x:si>
    <x:t xml:space="preserve">MVP 0–4 meses</x:t>
  </x:si>
  <x:si>
    <x:t xml:space="preserve">Aprobado para MVP</x:t>
  </x:si>
  <x:si>
    <x:t xml:space="preserve">Core estable</x:t>
  </x:si>
  <x:si>
    <x:t xml:space="preserve">Staging y beta cerrada</x:t>
  </x:si>
  <x:si>
    <x:t xml:space="preserve">Usuarios completan el flujo sin intervención</x:t>
  </x:si>
  <x:si>
    <x:t xml:space="preserve">MVP-04</x:t>
  </x:si>
  <x:si>
    <x:t xml:space="preserve">Niveles HanGo</x:t>
  </x:si>
  <x:si>
    <x:t xml:space="preserve">Eliminar contradicciones internas con HSK; mantener HSK únicamente como referencia externa cuando sea útil.</x:t>
  </x:si>
  <x:si>
    <x:t xml:space="preserve">Mapa único de niveles</x:t>
  </x:si>
  <x:si>
    <x:t xml:space="preserve">Auditoría transversal</x:t>
  </x:si>
  <x:si>
    <x:t xml:space="preserve">Onboarding, Han, Speaking, Placement y Progress usan el mismo nivel</x:t>
  </x:si>
  <x:si>
    <x:t xml:space="preserve">MVP-10</x:t>
  </x:si>
  <x:si>
    <x:t xml:space="preserve">MVP-02</x:t>
  </x:si>
  <x:si>
    <x:t xml:space="preserve">Ruta piloto</x:t>
  </x:si>
  <x:si>
    <x:t xml:space="preserve">6–8 lecciones coherentes; Foundations solo cuando sea necesario para llegar a una situación real.</x:t>
  </x:si>
  <x:si>
    <x:t xml:space="preserve">Inventario real de contenido</x:t>
  </x:si>
  <x:si>
    <x:t xml:space="preserve">Pruebas observadas</x:t>
  </x:si>
  <x:si>
    <x:t xml:space="preserve">Los usuarios entienden, completan y quieren continuar</x:t>
  </x:si>
  <x:si>
    <x:t xml:space="preserve">MVP-03</x:t>
  </x:si>
  <x:si>
    <x:t xml:space="preserve">Revisión humana del mandarín</x:t>
  </x:si>
  <x:si>
    <x:t xml:space="preserve">Revisión de vocabulario, gramática, diálogos, ejercicios, audios, Speaking y feedback del piloto.</x:t>
  </x:si>
  <x:si>
    <x:t xml:space="preserve">Revisor competente</x:t>
  </x:si>
  <x:si>
    <x:t xml:space="preserve">Muestra crítica y luego ruta completa</x:t>
  </x:si>
  <x:si>
    <x:t xml:space="preserve">Cero errores graves conocidos en el contenido lanzado</x:t>
  </x:si>
  <x:si>
    <x:t xml:space="preserve">MVP-05</x:t>
  </x:si>
  <x:si>
    <x:t xml:space="preserve">MVP-06</x:t>
  </x:si>
  <x:si>
    <x:t xml:space="preserve">Han Practice</x:t>
  </x:si>
  <x:si>
    <x:t xml:space="preserve">Conversación únicamente en mandarín, natural, ajustada al nivel, sin convertir la práctica en examen.</x:t>
  </x:si>
  <x:si>
    <x:t xml:space="preserve">STT y voz estables</x:t>
  </x:si>
  <x:si>
    <x:t xml:space="preserve">30 conversaciones de QA</x:t>
  </x:si>
  <x:si>
    <x:t xml:space="preserve">Mantiene contexto y dificultad sin correcciones innecesarias</x:t>
  </x:si>
  <x:si>
    <x:t xml:space="preserve">MVP-07</x:t>
  </x:si>
  <x:si>
    <x:t xml:space="preserve">MVP-09</x:t>
  </x:si>
  <x:si>
    <x:t xml:space="preserve">Writing básico</x:t>
  </x:si>
  <x:si>
    <x:t xml:space="preserve">Una experiencia principal de escritura que funcione bien; foto manuscrita queda condicionada a calidad y costo.</x:t>
  </x:si>
  <x:si>
    <x:t xml:space="preserve">Visión y lectura de imágenes</x:t>
  </x:si>
  <x:si>
    <x:t xml:space="preserve">5 pruebas por nivel</x:t>
  </x:si>
  <x:si>
    <x:t xml:space="preserve">Feedback legible, honesto y costeable</x:t>
  </x:si>
  <x:si>
    <x:t xml:space="preserve">MVP-08</x:t>
  </x:si>
  <x:si>
    <x:t xml:space="preserve">Reflection y Progress reales</x:t>
  </x:si>
  <x:si>
    <x:t xml:space="preserve">Puntajes trazables al desempeño; progreso basado en aprendizaje y no en finalización.</x:t>
  </x:si>
  <x:si>
    <x:t xml:space="preserve">Datos de ejercicios y Speaking</x:t>
  </x:si>
  <x:si>
    <x:t xml:space="preserve">Auditoría de casos</x:t>
  </x:si>
  <x:si>
    <x:t xml:space="preserve">Los resultados coinciden con la evidencia del usuario</x:t>
  </x:si>
  <x:si>
    <x:t xml:space="preserve">EXP-01</x:t>
  </x:si>
  <x:si>
    <x:t xml:space="preserve">Practice with Han</x:t>
  </x:si>
  <x:si>
    <x:t xml:space="preserve">Práctica libre en Speaking Lab con escena escrita por el alumno y conversación contextual.</x:t>
  </x:si>
  <x:si>
    <x:t xml:space="preserve">Después de alpha</x:t>
  </x:si>
  <x:si>
    <x:t xml:space="preserve">Speaking estable</x:t>
  </x:si>
  <x:si>
    <x:t xml:space="preserve">10 sesiones observadas</x:t>
  </x:si>
  <x:si>
    <x:t xml:space="preserve">Uso repetido sin afectar Speaking de lección</x:t>
  </x:si>
  <x:si>
    <x:t xml:space="preserve">EXP-02</x:t>
  </x:si>
  <x:si>
    <x:t xml:space="preserve">Shadowing</x:t>
  </x:si>
  <x:si>
    <x:t xml:space="preserve">Escuchar, repetir y comparar ritmo, pronunciación y tonos con modelos naturales.</x:t>
  </x:si>
  <x:si>
    <x:t xml:space="preserve">Después de beta</x:t>
  </x:si>
  <x:si>
    <x:t xml:space="preserve">Post-MVP condicionado</x:t>
  </x:si>
  <x:si>
    <x:t xml:space="preserve">Audio y evaluación confiables</x:t>
  </x:si>
  <x:si>
    <x:t xml:space="preserve">Desbloqueo a una cohorte</x:t>
  </x:si>
  <x:si>
    <x:t xml:space="preserve">Los usuarios repiten la actividad y comprenden el feedback</x:t>
  </x:si>
  <x:si>
    <x:t xml:space="preserve">Construido; bloqueado</x:t>
  </x:si>
  <x:si>
    <x:t xml:space="preserve">EXP-03</x:t>
  </x:si>
  <x:si>
    <x:t xml:space="preserve">Scenario Role Play</x:t>
  </x:si>
  <x:si>
    <x:t xml:space="preserve">Roleplays libres fuera de lecciones con personajes, escenarios y objetivos configurables.</x:t>
  </x:si>
  <x:si>
    <x:t xml:space="preserve">Realtime y costos</x:t>
  </x:si>
  <x:si>
    <x:t xml:space="preserve">Añade práctica sin duplicar el Journey</x:t>
  </x:si>
  <x:si>
    <x:t xml:space="preserve">AUD-01</x:t>
  </x:si>
  <x:si>
    <x:t xml:space="preserve">Prueba con ElevenLabs</x:t>
  </x:si>
  <x:si>
    <x:t xml:space="preserve">Comparar naturalidad, español/inglés/chino, latencia y costo contra OpenAI; no migrar por percepción aislada.</x:t>
  </x:si>
  <x:si>
    <x:t xml:space="preserve">Experimento antes de construir</x:t>
  </x:si>
  <x:si>
    <x:t xml:space="preserve">Muestras equivalentes</x:t>
  </x:si>
  <x:si>
    <x:t xml:space="preserve">Prueba ciega de voces</x:t>
  </x:si>
  <x:si>
    <x:t xml:space="preserve">Mejora clara de calidad/costo</x:t>
  </x:si>
  <x:si>
    <x:t xml:space="preserve">HanGo Institutions</x:t>
  </x:si>
  <x:si>
    <x:t xml:space="preserve">Una cohorte pequeña usa HanGo sin portal; seguimiento y reportes se resuelven manualmente.</x:t>
  </x:si>
  <x:si>
    <x:t xml:space="preserve">Contacto institucional</x:t>
  </x:si>
  <x:si>
    <x:t xml:space="preserve">Piloto sin desarrollo</x:t>
  </x:si>
  <x:si>
    <x:t xml:space="preserve">La institución completa un siguiente paso concreto</x:t>
  </x:si>
  <x:si>
    <x:t xml:space="preserve">TCH-01</x:t>
  </x:si>
  <x:si>
    <x:t xml:space="preserve">HanGo Teacher</x:t>
  </x:si>
  <x:si>
    <x:t xml:space="preserve">HanGo Teacher Lite</x:t>
  </x:si>
  <x:si>
    <x:t xml:space="preserve">Profesor crea una clase, invita alumnos, asigna una lección y ve finalización y resultados.</x:t>
  </x:si>
  <x:si>
    <x:t xml:space="preserve">Después de MVP</x:t>
  </x:si>
  <x:si>
    <x:t xml:space="preserve">Profesor piloto</x:t>
  </x:si>
  <x:si>
    <x:t xml:space="preserve">Operar primero de forma manual</x:t>
  </x:si>
  <x:si>
    <x:t xml:space="preserve">Profesor repite el workflow y pide continuidad</x:t>
  </x:si>
  <x:si>
    <x:t xml:space="preserve">PED-01</x:t>
  </x:si>
  <x:si>
    <x:t xml:space="preserve">Learn 2.0: guía de gramática</x:t>
  </x:si>
  <x:si>
    <x:t xml:space="preserve">Referencia práctica conectada con lecciones, ejemplos, errores del alumno y práctica con Han.</x:t>
  </x:si>
  <x:si>
    <x:t xml:space="preserve">Post-MVP</x:t>
  </x:si>
  <x:si>
    <x:t xml:space="preserve">Taxonomía de gramática</x:t>
  </x:si>
  <x:si>
    <x:t xml:space="preserve">Probar búsqueda y consulta</x:t>
  </x:si>
  <x:si>
    <x:t xml:space="preserve">Reduce preguntas repetidas y ayuda a completar lecciones</x:t>
  </x:si>
  <x:si>
    <x:t xml:space="preserve">PED-03</x:t>
  </x:si>
  <x:si>
    <x:t xml:space="preserve">Learn 2.0: repetición espaciada</x:t>
  </x:si>
  <x:si>
    <x:t xml:space="preserve">Programación por ítem, dificultad, olvido, errores y transferencia; evolución de la cola actual.</x:t>
  </x:si>
  <x:si>
    <x:t xml:space="preserve">Historial suficiente</x:t>
  </x:si>
  <x:si>
    <x:t xml:space="preserve">Comparar con review actual</x:t>
  </x:si>
  <x:si>
    <x:t xml:space="preserve">Mejora retención sin aumentar fatiga</x:t>
  </x:si>
  <x:si>
    <x:t xml:space="preserve">PED-04</x:t>
  </x:si>
  <x:si>
    <x:t xml:space="preserve">Learn 2.0: vocabulario visual</x:t>
  </x:si>
  <x:si>
    <x:t xml:space="preserve">Reconocimiento imagen–palabra y ejercicios visuales sin depender de traducción.</x:t>
  </x:si>
  <x:si>
    <x:t xml:space="preserve">Banco visual y derechos</x:t>
  </x:si>
  <x:si>
    <x:t xml:space="preserve">20 palabras piloto</x:t>
  </x:si>
  <x:si>
    <x:t xml:space="preserve">Mejora recuerdo frente al ejercicio actual</x:t>
  </x:si>
  <x:si>
    <x:t xml:space="preserve">MED-01</x:t>
  </x:si>
  <x:si>
    <x:t xml:space="preserve">Learn 2.0: biblioteca cultural</x:t>
  </x:si>
  <x:si>
    <x:t xml:space="preserve">Diccionario contextual, videos, lecturas, cultura y recursos conectados al aprendizaje.</x:t>
  </x:si>
  <x:si>
    <x:t xml:space="preserve">Demanda y licencias</x:t>
  </x:si>
  <x:si>
    <x:t xml:space="preserve">Colección pequeña enlazada a lecciones</x:t>
  </x:si>
  <x:si>
    <x:t xml:space="preserve">Uso recurrente que mejora la ruta</x:t>
  </x:si>
  <x:si>
    <x:t xml:space="preserve">Learn 2.0: plan personalizado</x:t>
  </x:si>
  <x:si>
    <x:t xml:space="preserve">Han recomienda objetivos, frecuencia, repaso y actividades según datos reales del alumno.</x:t>
  </x:si>
  <x:si>
    <x:t xml:space="preserve">Historial de aprendizaje</x:t>
  </x:si>
  <x:si>
    <x:t xml:space="preserve">Recomendación semanal</x:t>
  </x:si>
  <x:si>
    <x:t xml:space="preserve">Los usuarios siguen el plan y mejoran</x:t>
  </x:si>
  <x:si>
    <x:t xml:space="preserve">Learn 2.0: coaching cultural</x:t>
  </x:si>
  <x:si>
    <x:t xml:space="preserve">Uso social, cortesía, registros, hábitos y contexto cultural asociado a situaciones reales.</x:t>
  </x:si>
  <x:si>
    <x:t xml:space="preserve">Revisión cultural humana</x:t>
  </x:si>
  <x:si>
    <x:t xml:space="preserve">Añadirlo a un escenario</x:t>
  </x:si>
  <x:si>
    <x:t xml:space="preserve">Los usuarios lo consideran útil y correcto</x:t>
  </x:si>
  <x:si>
    <x:t xml:space="preserve">Learn 2.0: pronunciación por sonido</x:t>
  </x:si>
  <x:si>
    <x:t xml:space="preserve">Diagnóstico de consonantes, vocales, tonos y sílabas; no solo una rúbrica global.</x:t>
  </x:si>
  <x:si>
    <x:t xml:space="preserve">Evidencia de audio y validación</x:t>
  </x:si>
  <x:si>
    <x:t xml:space="preserve">Piloto con pocos sonidos</x:t>
  </x:si>
  <x:si>
    <x:t xml:space="preserve">Feedback confiable y accionable</x:t>
  </x:si>
  <x:si>
    <x:t xml:space="preserve">Learn 2.0: Listening Lab</x:t>
  </x:si>
  <x:si>
    <x:t xml:space="preserve">Práctica auditiva independiente por nivel, velocidad, acento y contexto, con feedback y progreso.</x:t>
  </x:si>
  <x:si>
    <x:t xml:space="preserve">Demanda y contenido</x:t>
  </x:si>
  <x:si>
    <x:t xml:space="preserve">Prototipo pequeño</x:t>
  </x:si>
  <x:si>
    <x:t xml:space="preserve">Uso recurrente y mejora medible</x:t>
  </x:si>
  <x:si>
    <x:t xml:space="preserve">LAB-02</x:t>
  </x:si>
  <x:si>
    <x:t xml:space="preserve">Learn 2.0: Reading Lab</x:t>
  </x:si>
  <x:si>
    <x:t xml:space="preserve">Textos graduados, comprensión, vocabulario en contexto y seguimiento de lectura.</x:t>
  </x:si>
  <x:si>
    <x:t xml:space="preserve">Retorno y mejora en comprensión</x:t>
  </x:si>
  <x:si>
    <x:t xml:space="preserve">GAM-02</x:t>
  </x:si>
  <x:si>
    <x:t xml:space="preserve">HanGo Play</x:t>
  </x:si>
  <x:si>
    <x:t xml:space="preserve">Play para el aula</x:t>
  </x:si>
  <x:si>
    <x:t xml:space="preserve">Partidas y quizzes en vivo para clases, con control del profesor, equipos, contenido de HanGo y resultados posteriores.</x:t>
  </x:si>
  <x:si>
    <x:t xml:space="preserve">Después de Teacher Lite</x:t>
  </x:si>
  <x:si>
    <x:t xml:space="preserve">Usar una herramienta externa primero</x:t>
  </x:si>
  <x:si>
    <x:t xml:space="preserve">El profesor lo incorpora a una clase real</x:t>
  </x:si>
  <x:si>
    <x:t xml:space="preserve">Learn 2.0: plan premium</x:t>
  </x:si>
  <x:si>
    <x:t xml:space="preserve">Free limitado y un plan premium; sin tiers complejos, bundles ni enterprise al inicio.</x:t>
  </x:si>
  <x:si>
    <x:t xml:space="preserve">Después de señal de pago</x:t>
  </x:si>
  <x:si>
    <x:t xml:space="preserve">Disposición a pagar</x:t>
  </x:si>
  <x:si>
    <x:t xml:space="preserve">Cobro o compromiso manual</x:t>
  </x:si>
  <x:si>
    <x:t xml:space="preserve">Usuarios pagan y continúan</x:t>
  </x:si>
  <x:si>
    <x:t xml:space="preserve">Learn 2.0: aplicación móvil</x:t>
  </x:si>
  <x:si>
    <x:t xml:space="preserve">Aplicaciones nativas con el core de aprendizaje, audio y notificaciones.</x:t>
  </x:si>
  <x:si>
    <x:t xml:space="preserve">Largo plazo</x:t>
  </x:si>
  <x:si>
    <x:t xml:space="preserve">Visión; no comprometido</x:t>
  </x:si>
  <x:si>
    <x:t xml:space="preserve">Web móvil validada</x:t>
  </x:si>
  <x:si>
    <x:t xml:space="preserve">Medir demanda explícita</x:t>
  </x:si>
  <x:si>
    <x:t xml:space="preserve">Retención y uso justifican el costo</x:t>
  </x:si>
  <x:si>
    <x:t xml:space="preserve">No especificado</x:t>
  </x:si>
  <x:si>
    <x:t xml:space="preserve">OFF-01</x:t>
  </x:si>
  <x:si>
    <x:t xml:space="preserve">Learn 2.0: modo offline</x:t>
  </x:si>
  <x:si>
    <x:t xml:space="preserve">Descarga de lecciones, audio y progreso con sincronización posterior.</x:t>
  </x:si>
  <x:si>
    <x:t xml:space="preserve">App móvil y sincronización</x:t>
  </x:si>
  <x:si>
    <x:t xml:space="preserve">Entrevistas y prueba de conectividad</x:t>
  </x:si>
  <x:si>
    <x:t xml:space="preserve">Problema frecuente y medible</x:t>
  </x:si>
  <x:si>
    <x:t xml:space="preserve">LNG-01</x:t>
  </x:si>
  <x:si>
    <x:t xml:space="preserve">Learn 2.0: expansión de idiomas</x:t>
  </x:si>
  <x:si>
    <x:t xml:space="preserve">Interfaces adicionales, otras lenguas de explicación y, mucho después, Cantonés u otras variedades.</x:t>
  </x:si>
  <x:si>
    <x:t xml:space="preserve">Expansión geográfica</x:t>
  </x:si>
  <x:si>
    <x:t xml:space="preserve">Investigar un mercado</x:t>
  </x:si>
  <x:si>
    <x:t xml:space="preserve">Demanda suficiente sin degradar mandarín</x:t>
  </x:si>
  <x:si>
    <x:t xml:space="preserve">Por definir</x:t>
  </x:si>
  <x:si>
    <x:t xml:space="preserve">AI-04</x:t>
  </x:si>
  <x:si>
    <x:t xml:space="preserve">Learn 2.0: lecciones personalizadas</x:t>
  </x:si>
  <x:si>
    <x:t xml:space="preserve">Generar o adaptar práctica usando objetivos, intereses y errores, con control académico humano.</x:t>
  </x:si>
  <x:si>
    <x:t xml:space="preserve">Calidad, moderación y costos</x:t>
  </x:si>
  <x:si>
    <x:t xml:space="preserve">Actividad aislada, no curso completo</x:t>
  </x:si>
  <x:si>
    <x:t xml:space="preserve">Calidad comparable al contenido revisado</x:t>
  </x:si>
  <x:si>
    <x:t xml:space="preserve">TCH-02</x:t>
  </x:si>
  <x:si>
    <x:t xml:space="preserve">Clases, grupos, assignments, tareas, analytics, feedback, comunicación, copiloto de IA, contenido y juegos en vivo.</x:t>
  </x:si>
  <x:si>
    <x:t xml:space="preserve">Teacher Lite validado</x:t>
  </x:si>
  <x:si>
    <x:t xml:space="preserve">MVP de una sola función</x:t>
  </x:si>
  <x:si>
    <x:t xml:space="preserve">Profesores activos y workflow recurrente</x:t>
  </x:si>
  <x:si>
    <x:t xml:space="preserve">Administración, sedes, roles, licencias, currículo, cohortes, reportes, privacidad, integraciones y SSO futuro.</x:t>
  </x:si>
  <x:si>
    <x:t xml:space="preserve">Piloto institucional validado</x:t>
  </x:si>
  <x:si>
    <x:t xml:space="preserve">Portal mínimo para una institución</x:t>
  </x:si>
  <x:si>
    <x:t xml:space="preserve">Renovación o pago institucional</x:t>
  </x:si>
  <x:si>
    <x:t xml:space="preserve">HanGo Connect</x:t>
  </x:si>
  <x:si>
    <x:t xml:space="preserve">Matching por nivel/intereses/horario, audio, voice notes, escenarios, compañeros recurrentes, reputación, seguridad, bloqueo y reporte.</x:t>
  </x:si>
  <x:si>
    <x:t xml:space="preserve">Masa crítica y moderación</x:t>
  </x:si>
  <x:si>
    <x:t xml:space="preserve">Emparejar manualmente 6–10 alumnos</x:t>
  </x:si>
  <x:si>
    <x:t xml:space="preserve">Las parejas coordinan y repiten sin intervención</x:t>
  </x:si>
  <x:si>
    <x:t xml:space="preserve">HanGo Community</x:t>
  </x:si>
  <x:si>
    <x:t xml:space="preserve">Perfiles, feed, preguntas, grupos, clubes, retos, cultura, seguimiento de profesores y moderación.</x:t>
  </x:si>
  <x:si>
    <x:t xml:space="preserve">Usuarios activos</x:t>
  </x:si>
  <x:si>
    <x:t xml:space="preserve">Comunidad externa privada</x:t>
  </x:si>
  <x:si>
    <x:t xml:space="preserve">Conversaciones orgánicas y retorno</x:t>
  </x:si>
  <x:si>
    <x:t xml:space="preserve">SOC-01</x:t>
  </x:si>
  <x:si>
    <x:t xml:space="preserve">Perfiles, red y feed</x:t>
  </x:si>
  <x:si>
    <x:t xml:space="preserve">Identidad pública opcional, objetivos, logros, seguidores, publicaciones, comentarios y privacidad.</x:t>
  </x:si>
  <x:si>
    <x:t xml:space="preserve">Community validada</x:t>
  </x:si>
  <x:si>
    <x:t xml:space="preserve">Perfil mínimo en comunidad externa</x:t>
  </x:si>
  <x:si>
    <x:t xml:space="preserve">Los perfiles mejoran conexión y retorno</x:t>
  </x:si>
  <x:si>
    <x:t xml:space="preserve">GAM-01</x:t>
  </x:si>
  <x:si>
    <x:t xml:space="preserve">Play entre alumnos</x:t>
  </x:si>
  <x:si>
    <x:t xml:space="preserve">Juegos competitivos y cooperativos entre alumnos para vocabulario, caracteres, tonos, listening, frases y roleplay, siempre vinculados a objetivos de aprendizaje.</x:t>
  </x:si>
  <x:si>
    <x:t xml:space="preserve">Connect o comunidad activa</x:t>
  </x:si>
  <x:si>
    <x:t xml:space="preserve">Un juego asíncrono</x:t>
  </x:si>
  <x:si>
    <x:t xml:space="preserve">Repetición y aprendizaje, no solo sesiones</x:t>
  </x:si>
  <x:si>
    <x:t xml:space="preserve">CRT-01</x:t>
  </x:si>
  <x:si>
    <x:t xml:space="preserve">HanGo Marketplace</x:t>
  </x:si>
  <x:si>
    <x:t xml:space="preserve">HanGo Creator</x:t>
  </x:si>
  <x:si>
    <x:t xml:space="preserve">Editor, plantillas, recursos, IA asistida, publicación, moderación, analytics, seguidores y reparto de ingresos.</x:t>
  </x:si>
  <x:si>
    <x:t xml:space="preserve">Estudiantes y creadores activos</x:t>
  </x:si>
  <x:si>
    <x:t xml:space="preserve">Un creador entrega contenido manualmente</x:t>
  </x:si>
  <x:si>
    <x:t xml:space="preserve">Contenido usado y creador dispuesto a repetir</x:t>
  </x:si>
  <x:si>
    <x:t xml:space="preserve">MKT-01</x:t>
  </x:si>
  <x:si>
    <x:t xml:space="preserve">Cursos, recursos, tutorías, reseñas, descubrimiento, pagos, comisiones, payouts, reembolsos y disputas.</x:t>
  </x:si>
  <x:si>
    <x:t xml:space="preserve">Creator validado y demanda</x:t>
  </x:si>
  <x:si>
    <x:t xml:space="preserve">Venta manual de un recurso</x:t>
  </x:si>
  <x:si>
    <x:t xml:space="preserve">Transacciones repetidas con calidad y soporte</x:t>
  </x:si>
  <x:si>
    <x:t xml:space="preserve">INF-01</x:t>
  </x:si>
  <x:si>
    <x:t xml:space="preserve">Influencers y embajadores</x:t>
  </x:si>
  <x:si>
    <x:t xml:space="preserve">Perfiles verificados, cursos, retos, lives, afiliados, invitaciones, analytics y revenue share.</x:t>
  </x:si>
  <x:si>
    <x:t xml:space="preserve">Hipótesis de distribución</x:t>
  </x:si>
  <x:si>
    <x:t xml:space="preserve">Creator y audiencia</x:t>
  </x:si>
  <x:si>
    <x:t xml:space="preserve">Campaña con un creador</x:t>
  </x:si>
  <x:si>
    <x:t xml:space="preserve">Usuarios activados y retenidos, no solo registros</x:t>
  </x:si>
  <x:si>
    <x:t xml:space="preserve">VIS-01</x:t>
  </x:si>
  <x:si>
    <x:t xml:space="preserve">Play: mundo virtual y avatares</x:t>
  </x:si>
  <x:si>
    <x:t xml:space="preserve">Capa lúdica futura con avatares, espacios virtuales, logros y coleccionables conectados a HanGo Play; solo se explora si mejora práctica y retención.</x:t>
  </x:si>
  <x:si>
    <x:t xml:space="preserve">Parking lot</x:t>
  </x:si>
  <x:si>
    <x:t xml:space="preserve">No comprometido</x:t>
  </x:si>
  <x:si>
    <x:t xml:space="preserve">Retención y recursos de escala</x:t>
  </x:si>
  <x:si>
    <x:t xml:space="preserve">Ninguna durante el MVP</x:t>
  </x:si>
  <x:si>
    <x:t xml:space="preserve">Evidencia fuerte de que resuelve un problema real</x:t>
  </x:si>
  <x:si>
    <x:t xml:space="preserve">Aparcado</x:t>
  </x:si>
</x:sst>
</file>

<file path=xl/styles.xml><?xml version="1.0" encoding="utf-8"?>
<x:styleSheet xmlns:x="http://schemas.openxmlformats.org/spreadsheetml/2006/main">
  <x:numFmts count="13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0.0"/>
    <x:numFmt numFmtId="165" formatCode="yyyy\-mm\-dd"/>
    <x:numFmt numFmtId="166" formatCode="&quot;$&quot;#,##0.00"/>
    <x:numFmt numFmtId="167" formatCode="&quot;$&quot;0.0000"/>
    <x:numFmt numFmtId="168" formatCode="&quot;$&quot;0.00"/>
    <x:numFmt numFmtId="169" formatCode="_(&quot;$&quot;* #,##0.000_);_(&quot;$&quot;* \(#,##0.000\);_(&quot;$&quot;* &quot;-&quot;??_);_(@_)"/>
    <x:numFmt numFmtId="170" formatCode="_-[$S/-280A]\ * #,##0.0_-;\-[$S/-280A]\ * #,##0.0_-;_-[$S/-280A]\ * &quot;-&quot;??_-;_-@_-"/>
    <x:numFmt numFmtId="171" formatCode="_(* #,##0_);_(* \(#,##0\);_(* &quot;-&quot;??_);_(@_)"/>
    <x:numFmt numFmtId="172" formatCode="_(* #,##0.00000_);_(* \(#,##0.00000\);_(* &quot;-&quot;??_);_(@_)"/>
    <x:numFmt numFmtId="173" formatCode="\~0"/>
    <x:numFmt numFmtId="200" formatCode="#,##0"/>
  </x:numFmts>
  <x:fonts count="14">
    <x:font>
      <x:sz val="11"/>
      <x:name val="Carlito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b/>
      <x:sz val="11"/>
      <x:color theme="0"/>
      <x:name val="Carlito"/>
    </x:font>
    <x:font>
      <x:sz val="11"/>
      <x:color rgb="FF27272A"/>
      <x:name val="Carlito"/>
    </x:font>
    <x:font>
      <x:b/>
      <x:sz val="11"/>
      <x:color rgb="FF27272A"/>
      <x:name val="Carlito"/>
    </x:font>
    <x:font>
      <x:b/>
      <x:sz val="11"/>
      <x:color rgb="FF8F172E"/>
      <x:name val="Carlito"/>
    </x:font>
    <x:font>
      <x:i/>
      <x:sz val="11"/>
      <x:color rgb="FF6B7280"/>
      <x:name val="Carlito"/>
    </x:font>
    <x:font>
      <x:sz val="10"/>
      <x:color theme="1"/>
      <x:name val="Calibri"/>
    </x:font>
    <x:font>
      <x:b/>
      <x:sz val="10"/>
      <x:color theme="1"/>
      <x:name val="Calibri"/>
    </x:font>
    <x:font>
      <x:sz val="10"/>
      <x:name val="Calibri"/>
    </x:font>
    <x:font>
      <x:sz val="11"/>
      <x:color rgb="FFFF0000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C0203D"/>
      </x:patternFill>
    </x:fill>
    <x:fill>
      <x:patternFill patternType="solid">
        <x:fgColor theme="2" tint="-0.09998"/>
      </x:patternFill>
    </x:fill>
    <x:fill>
      <x:patternFill patternType="solid">
        <x:fgColor theme="1" tint="0.49995"/>
      </x:patternFill>
    </x:fill>
    <x:fill>
      <x:patternFill patternType="solid">
        <x:fgColor rgb="FFC0203D"/>
      </x:patternFill>
    </x:fill>
    <x:fill>
      <x:patternFill patternType="solid">
        <x:fgColor rgb="FF3F3F46"/>
      </x:patternFill>
    </x:fill>
    <x:fill>
      <x:patternFill patternType="solid">
        <x:fgColor rgb="FFF4F4F5"/>
      </x:patternFill>
    </x:fill>
    <x:fill>
      <x:patternFill patternType="solid">
        <x:fgColor rgb="FFFFFFFF"/>
      </x:patternFill>
    </x:fill>
    <x:fill>
      <x:patternFill patternType="solid">
        <x:fgColor rgb="FF6B7280"/>
      </x:patternFill>
    </x:fill>
    <x:fill>
      <x:patternFill patternType="solid">
        <x:fgColor rgb="FFFFF4CC"/>
      </x:patternFill>
    </x:fill>
    <x:fill>
      <x:patternFill patternType="solid">
        <x:fgColor rgb="FFFBEAEC"/>
      </x:patternFill>
    </x:fill>
    <x:fill>
      <x:patternFill patternType="solid">
        <x:fgColor rgb="FFC0203D"/>
      </x:patternFill>
    </x:fill>
    <x:fill>
      <x:patternFill patternType="solid">
        <x:fgColor rgb="FFF4F4F5"/>
      </x:patternFill>
    </x:fill>
    <x:fill>
      <x:patternFill patternType="solid">
        <x:fgColor rgb="FF3F3F46"/>
      </x:patternFill>
    </x:fill>
    <x:fill>
      <x:patternFill patternType="solid">
        <x:fgColor rgb="FFFFFFFF"/>
      </x:patternFill>
    </x:fill>
    <x:fill>
      <x:patternFill patternType="solid">
        <x:fgColor rgb="FFFBEAEC"/>
      </x:patternFill>
    </x:fill>
    <x:fill>
      <x:patternFill patternType="solid">
        <x:fgColor rgb="FFFFF4CC"/>
      </x:patternFill>
    </x:fill>
    <x:fill>
      <x:patternFill patternType="solid">
        <x:fgColor theme="0"/>
      </x:patternFill>
    </x:fill>
    <x:fill>
      <x:patternFill patternType="solid">
        <x:fgColor theme="2" tint="-0.09998"/>
      </x:patternFill>
    </x:fill>
    <x:fill>
      <x:patternFill patternType="solid">
        <x:fgColor theme="9" tint="0.79998"/>
      </x:patternFill>
    </x:fill>
    <x:fill>
      <x:patternFill patternType="solid">
        <x:fgColor rgb="FFC0203D"/>
      </x:patternFill>
    </x:fill>
    <x:fill>
      <x:patternFill patternType="solid">
        <x:fgColor rgb="FFFFFF99"/>
      </x:patternFill>
    </x:fill>
  </x:fills>
  <x:borders count="41">
    <x:border/>
    <x:border>
      <x:right style="thin">
        <x:color rgb="FFD7DEE5"/>
      </x:right>
    </x:border>
    <x:border>
      <x:left style="thin">
        <x:color rgb="FFD7DEE5"/>
      </x:left>
    </x:border>
    <x:border>
      <x:left style="thin">
        <x:color rgb="FF149C90"/>
      </x:left>
      <x:top style="thin">
        <x:color rgb="FF149C90"/>
      </x:top>
      <x:bottom style="thin">
        <x:color rgb="FF149C90"/>
      </x:bottom>
    </x:border>
    <x:border>
      <x:top style="thin">
        <x:color rgb="FF149C90"/>
      </x:top>
      <x:bottom style="thin">
        <x:color rgb="FF149C90"/>
      </x:bottom>
    </x:border>
    <x:border>
      <x:right style="thin">
        <x:color rgb="FF149C90"/>
      </x:right>
      <x:top style="thin">
        <x:color rgb="FF149C90"/>
      </x:top>
      <x:bottom style="thin">
        <x:color rgb="FF149C90"/>
      </x:bottom>
    </x:border>
    <x:border>
      <x:top style="thin">
        <x:color rgb="FFD7DEE5"/>
      </x:top>
      <x:bottom style="double">
        <x:color rgb="FF149C90"/>
      </x:bottom>
    </x:border>
    <x:border>
      <x:left style="thin">
        <x:color rgb="FF149C90"/>
      </x:left>
      <x:right style="thin">
        <x:color rgb="FF149C90"/>
      </x:right>
      <x:top style="thin">
        <x:color rgb="FF149C90"/>
      </x:top>
      <x:bottom style="thin">
        <x:color rgb="FF149C9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/>
    <x:border/>
    <x:border/>
    <x:border>
      <x:left style="thin">
        <x:color rgb="FFC0203D"/>
      </x:left>
      <x:right style="thin">
        <x:color rgb="FFD4D4D8"/>
      </x:right>
      <x:top style="thin">
        <x:color rgb="FFC0203D"/>
      </x:top>
      <x:bottom style="thin">
        <x:color rgb="FFC0203D"/>
      </x:bottom>
    </x:border>
    <x:border>
      <x:left style="thin">
        <x:color rgb="FFD4D4D8"/>
      </x:left>
      <x:right style="thin">
        <x:color rgb="FFD4D4D8"/>
      </x:right>
      <x:top style="thin">
        <x:color rgb="FFC0203D"/>
      </x:top>
      <x:bottom style="thin">
        <x:color rgb="FFC0203D"/>
      </x:bottom>
    </x:border>
    <x:border>
      <x:left style="thin">
        <x:color rgb="FFD4D4D8"/>
      </x:left>
      <x:right style="thin">
        <x:color rgb="FFC0203D"/>
      </x:right>
      <x:top style="thin">
        <x:color rgb="FFC0203D"/>
      </x:top>
      <x:bottom style="thin">
        <x:color rgb="FFC0203D"/>
      </x:bottom>
    </x:border>
    <x:border>
      <x:left style="thin">
        <x:color rgb="FFC0203D"/>
      </x:left>
      <x:right style="thin">
        <x:color rgb="FFC0203D"/>
      </x:right>
      <x:top style="thin">
        <x:color rgb="FFC0203D"/>
      </x:top>
      <x:bottom style="thin">
        <x:color rgb="FFD4D4D8"/>
      </x:bottom>
    </x:border>
    <x:border>
      <x:left style="thin">
        <x:color rgb="FFC0203D"/>
      </x:left>
      <x:right style="thin">
        <x:color rgb="FFC0203D"/>
      </x:right>
      <x:top style="thin">
        <x:color rgb="FFD4D4D8"/>
      </x:top>
      <x:bottom style="thin">
        <x:color rgb="FFD4D4D8"/>
      </x:bottom>
    </x:border>
    <x:border>
      <x:left style="thin">
        <x:color rgb="FFC0203D"/>
      </x:left>
      <x:right style="thin">
        <x:color rgb="FFC0203D"/>
      </x:right>
      <x:top style="thin">
        <x:color rgb="FFD4D4D8"/>
      </x:top>
      <x:bottom style="thin">
        <x:color rgb="FFC0203D"/>
      </x:bottom>
    </x:border>
    <x:border>
      <x:left style="thin">
        <x:color indexed="64"/>
      </x:left>
      <x:top style="thin">
        <x:color rgb="FFC0203D"/>
      </x:top>
      <x:bottom style="thin">
        <x:color indexed="64"/>
      </x:bottom>
    </x:border>
    <x:border>
      <x:top style="thin">
        <x:color rgb="FFC0203D"/>
      </x:top>
      <x:bottom style="thin">
        <x:color indexed="64"/>
      </x:bottom>
    </x:border>
    <x:border>
      <x:left style="thin">
        <x:color indexed="64"/>
      </x:left>
      <x:right style="thin">
        <x:color rgb="FFD4D4D8"/>
      </x:right>
      <x:top style="thin">
        <x:color indexed="64"/>
      </x:top>
      <x:bottom style="thin">
        <x:color indexed="64"/>
      </x:bottom>
    </x:border>
    <x:border>
      <x:left style="thin">
        <x:color rgb="FFD4D4D8"/>
      </x:left>
      <x:right style="thin">
        <x:color rgb="FFD4D4D8"/>
      </x:right>
      <x:top style="thin">
        <x:color indexed="64"/>
      </x:top>
      <x:bottom style="thin">
        <x:color indexed="64"/>
      </x:bottom>
    </x:border>
    <x:border>
      <x:left style="thin">
        <x:color rgb="FFD4D4D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D4D4D8"/>
      </x:bottom>
    </x:border>
    <x:border>
      <x:left style="thin">
        <x:color indexed="64"/>
      </x:left>
      <x:right style="thin">
        <x:color indexed="64"/>
      </x:right>
      <x:top style="thin">
        <x:color rgb="FFD4D4D8"/>
      </x:top>
      <x:bottom style="thin">
        <x:color indexed="64"/>
      </x:bottom>
    </x:border>
    <x:border>
      <x:right style="thin">
        <x:color rgb="FFD4D4D8"/>
      </x:right>
    </x:border>
    <x:border>
      <x:left style="thin">
        <x:color rgb="FFD4D4D8"/>
      </x:left>
      <x:right style="thin">
        <x:color rgb="FFD4D4D8"/>
      </x:right>
    </x:border>
    <x:border>
      <x:left style="thin">
        <x:color rgb="FFD4D4D8"/>
      </x:left>
      <x:right style="thin">
        <x:color rgb="FFD7DEE5"/>
      </x:right>
    </x:border>
    <x:border>
      <x:bottom style="thin">
        <x:color rgb="FFD4D4D8"/>
      </x:bottom>
    </x:border>
    <x:border>
      <x:top style="thin">
        <x:color rgb="FFD4D4D8"/>
      </x:top>
      <x:bottom style="thin">
        <x:color rgb="FFD4D4D8"/>
      </x:bottom>
    </x:border>
    <x:border>
      <x:top style="thin">
        <x:color rgb="FFD4D4D8"/>
      </x:top>
      <x:bottom style="thin">
        <x:color rgb="FFD7DEE5"/>
      </x:bottom>
    </x:border>
    <x:border>
      <x:top style="medium">
        <x:color rgb="FFFBEAEC"/>
      </x:top>
      <x:bottom style="thin">
        <x:color rgb="FFD4D4D8"/>
      </x:bottom>
    </x:border>
    <x:border>
      <x:left style="thin">
        <x:color rgb="FFD4D4D8"/>
      </x:left>
    </x:border>
    <x:border>
      <x:top style="medium">
        <x:color rgb="FFC0203D"/>
      </x:top>
      <x:bottom style="thin">
        <x:color rgb="FFD4D4D8"/>
      </x:bottom>
    </x:border>
    <x:border>
      <x:top style="medium">
        <x:color rgb="FFC0203D"/>
      </x:top>
    </x:border>
    <x:border>
      <x:left style="thin">
        <x:color rgb="FFC0203D"/>
      </x:left>
      <x:top style="thin">
        <x:color rgb="FFC0203D"/>
      </x:top>
      <x:bottom style="thin">
        <x:color rgb="FFC0203D"/>
      </x:bottom>
    </x:border>
    <x:border>
      <x:top style="thin">
        <x:color rgb="FFC0203D"/>
      </x:top>
      <x:bottom style="thin">
        <x:color rgb="FFC0203D"/>
      </x:bottom>
    </x:border>
    <x:border>
      <x:right style="thin">
        <x:color rgb="FFC0203D"/>
      </x:right>
      <x:top style="thin">
        <x:color rgb="FFC0203D"/>
      </x:top>
      <x:bottom style="thin">
        <x:color rgb="FFC0203D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">
    <x:xf numFmtId="0" fontId="0" fillId="0" borderId="0"/>
    <x:xf numFmtId="0" fontId="2" fillId="0" borderId="13"/>
    <x:xf numFmtId="43" fontId="2" fillId="0" borderId="13" applyFont="0" applyFill="0" applyBorder="0" applyAlignment="0" applyProtection="0"/>
    <x:xf numFmtId="44" fontId="2" fillId="0" borderId="13" applyFont="0" applyFill="0" applyBorder="0" applyAlignment="0" applyProtection="0"/>
  </x:cellStyleXfs>
  <x:cellXfs count="172">
    <x:xf numFmtId="0" fontId="0" fillId="0" borderId="0" xfId="0"/>
    <x:xf numFmtId="0" fontId="4" fillId="0" borderId="0" xfId="0" applyFont="1"/>
    <x:xf numFmtId="0" fontId="3" fillId="2" borderId="0" xfId="0" applyFont="1" applyFill="1" applyAlignment="1">
      <x:alignment vertical="center"/>
    </x:xf>
    <x:xf numFmtId="0" fontId="0" fillId="2" borderId="0" xfId="0" applyFill="1"/>
    <x:xf numFmtId="0" fontId="0" fillId="3" borderId="10" xfId="0" applyFill="1" applyBorder="1"/>
    <x:xf numFmtId="0" fontId="0" fillId="4" borderId="0" xfId="0" applyFill="1"/>
    <x:xf numFmtId="0" fontId="3" fillId="5" borderId="11" xfId="0" applyFont="1" applyFill="1" applyBorder="1" applyAlignment="1">
      <x:alignment vertical="center"/>
    </x:xf>
    <x:xf numFmtId="0" fontId="3" fillId="5" borderId="12" xfId="0" applyFont="1" applyFill="1" applyBorder="1" applyAlignment="1">
      <x:alignment vertical="center"/>
    </x:xf>
    <x:xf numFmtId="0" fontId="3" fillId="5" borderId="13" xfId="0" applyFont="1" applyFill="1" applyBorder="1" applyAlignment="1">
      <x:alignment vertical="center"/>
    </x:xf>
    <x:xf numFmtId="0" fontId="3" fillId="6" borderId="14" xfId="0" applyFont="1" applyFill="1" applyBorder="1" applyAlignment="1">
      <x:alignment vertical="center" wrapText="1"/>
    </x:xf>
    <x:xf numFmtId="0" fontId="3" fillId="6" borderId="15" xfId="0" applyFont="1" applyFill="1" applyBorder="1" applyAlignment="1">
      <x:alignment vertical="center" wrapText="1"/>
    </x:xf>
    <x:xf numFmtId="0" fontId="3" fillId="6" borderId="15" xfId="0" applyFont="1" applyFill="1" applyBorder="1" applyAlignment="1">
      <x:alignment horizontal="center" vertical="center" wrapText="1"/>
    </x:xf>
    <x:xf numFmtId="0" fontId="3" fillId="6" borderId="16" xfId="0" applyFont="1" applyFill="1" applyBorder="1" applyAlignment="1">
      <x:alignment vertical="center" wrapText="1"/>
    </x:xf>
    <x:xf numFmtId="0" fontId="6" fillId="7" borderId="17" xfId="0" applyFont="1" applyFill="1" applyBorder="1" applyAlignment="1">
      <x:alignment vertical="top" wrapText="1"/>
    </x:xf>
    <x:xf numFmtId="165" fontId="6" fillId="7" borderId="17" xfId="0" applyNumberFormat="1" applyFont="1" applyFill="1" applyBorder="1" applyAlignment="1">
      <x:alignment vertical="top" wrapText="1"/>
    </x:xf>
    <x:xf numFmtId="0" fontId="6" fillId="8" borderId="18" xfId="0" applyFont="1" applyFill="1" applyBorder="1" applyAlignment="1">
      <x:alignment vertical="top" wrapText="1"/>
    </x:xf>
    <x:xf numFmtId="165" fontId="6" fillId="8" borderId="18" xfId="0" applyNumberFormat="1" applyFont="1" applyFill="1" applyBorder="1" applyAlignment="1">
      <x:alignment vertical="top" wrapText="1"/>
    </x:xf>
    <x:xf numFmtId="0" fontId="6" fillId="7" borderId="19" xfId="0" applyFont="1" applyFill="1" applyBorder="1" applyAlignment="1">
      <x:alignment vertical="top" wrapText="1"/>
    </x:xf>
    <x:xf numFmtId="165" fontId="6" fillId="7" borderId="19" xfId="0" applyNumberFormat="1" applyFont="1" applyFill="1" applyBorder="1" applyAlignment="1">
      <x:alignment vertical="top" wrapText="1"/>
    </x:xf>
    <x:xf numFmtId="0" fontId="3" fillId="6" borderId="22" xfId="0" applyFont="1" applyFill="1" applyBorder="1" applyAlignment="1">
      <x:alignment vertical="center" wrapText="1"/>
    </x:xf>
    <x:xf numFmtId="0" fontId="3" fillId="6" borderId="23" xfId="0" applyFont="1" applyFill="1" applyBorder="1" applyAlignment="1">
      <x:alignment vertical="center" wrapText="1"/>
    </x:xf>
    <x:xf numFmtId="0" fontId="3" fillId="6" borderId="24" xfId="0" applyFont="1" applyFill="1" applyBorder="1" applyAlignment="1">
      <x:alignment vertical="center" wrapText="1"/>
    </x:xf>
    <x:xf numFmtId="0" fontId="6" fillId="7" borderId="25" xfId="0" applyFont="1" applyFill="1" applyBorder="1" applyAlignment="1">
      <x:alignment vertical="top" wrapText="1"/>
    </x:xf>
    <x:xf numFmtId="164" fontId="6" fillId="7" borderId="25" xfId="0" applyNumberFormat="1" applyFont="1" applyFill="1" applyBorder="1" applyAlignment="1">
      <x:alignment vertical="top" wrapText="1"/>
    </x:xf>
    <x:xf numFmtId="0" fontId="6" fillId="8" borderId="26" xfId="0" applyFont="1" applyFill="1" applyBorder="1" applyAlignment="1">
      <x:alignment vertical="top" wrapText="1"/>
    </x:xf>
    <x:xf numFmtId="164" fontId="6" fillId="8" borderId="26" xfId="0" applyNumberFormat="1" applyFont="1" applyFill="1" applyBorder="1" applyAlignment="1">
      <x:alignment vertical="top" wrapText="1"/>
    </x:xf>
    <x:xf numFmtId="0" fontId="3" fillId="6" borderId="1" xfId="0" applyFont="1" applyFill="1" applyBorder="1" applyAlignment="1">
      <x:alignment vertical="center" wrapText="1"/>
    </x:xf>
    <x:xf numFmtId="0" fontId="3" fillId="6" borderId="2" xfId="0" applyFont="1" applyFill="1" applyBorder="1" applyAlignment="1">
      <x:alignment vertical="center" wrapText="1"/>
    </x:xf>
    <x:xf numFmtId="0" fontId="3" fillId="6" borderId="27" xfId="0" applyFont="1" applyFill="1" applyBorder="1" applyAlignment="1">
      <x:alignment vertical="center" wrapText="1"/>
    </x:xf>
    <x:xf numFmtId="0" fontId="3" fillId="6" borderId="28" xfId="0" applyFont="1" applyFill="1" applyBorder="1" applyAlignment="1">
      <x:alignment vertical="center" wrapText="1"/>
    </x:xf>
    <x:xf numFmtId="0" fontId="3" fillId="6" borderId="29" xfId="0" applyFont="1" applyFill="1" applyBorder="1" applyAlignment="1">
      <x:alignment vertical="center" wrapText="1"/>
    </x:xf>
    <x:xf numFmtId="0" fontId="6" fillId="8" borderId="30" xfId="0" applyFont="1" applyFill="1" applyBorder="1" applyAlignment="1">
      <x:alignment vertical="top" wrapText="1"/>
    </x:xf>
    <x:xf numFmtId="9" fontId="6" fillId="8" borderId="30" xfId="0" applyNumberFormat="1" applyFont="1" applyFill="1" applyBorder="1" applyAlignment="1">
      <x:alignment vertical="top" wrapText="1"/>
    </x:xf>
    <x:xf numFmtId="0" fontId="6" fillId="7" borderId="31" xfId="0" applyFont="1" applyFill="1" applyBorder="1" applyAlignment="1">
      <x:alignment vertical="top" wrapText="1"/>
    </x:xf>
    <x:xf numFmtId="9" fontId="6" fillId="7" borderId="31" xfId="0" applyNumberFormat="1" applyFont="1" applyFill="1" applyBorder="1" applyAlignment="1">
      <x:alignment vertical="top" wrapText="1"/>
    </x:xf>
    <x:xf numFmtId="0" fontId="6" fillId="8" borderId="31" xfId="0" applyFont="1" applyFill="1" applyBorder="1" applyAlignment="1">
      <x:alignment vertical="top" wrapText="1"/>
    </x:xf>
    <x:xf numFmtId="9" fontId="6" fillId="8" borderId="31" xfId="0" applyNumberFormat="1" applyFont="1" applyFill="1" applyBorder="1" applyAlignment="1">
      <x:alignment vertical="top" wrapText="1"/>
    </x:xf>
    <x:xf numFmtId="0" fontId="6" fillId="7" borderId="32" xfId="0" applyFont="1" applyFill="1" applyBorder="1" applyAlignment="1">
      <x:alignment vertical="top" wrapText="1"/>
    </x:xf>
    <x:xf numFmtId="9" fontId="6" fillId="7" borderId="32" xfId="0" applyNumberFormat="1" applyFont="1" applyFill="1" applyBorder="1" applyAlignment="1">
      <x:alignment vertical="top" wrapText="1"/>
    </x:xf>
    <x:xf numFmtId="0" fontId="6" fillId="10" borderId="30" xfId="0" applyFont="1" applyFill="1" applyBorder="1" applyAlignment="1">
      <x:alignment vertical="top" wrapText="1"/>
    </x:xf>
    <x:xf numFmtId="0" fontId="6" fillId="10" borderId="31" xfId="0" applyFont="1" applyFill="1" applyBorder="1" applyAlignment="1">
      <x:alignment vertical="top" wrapText="1"/>
    </x:xf>
    <x:xf numFmtId="0" fontId="6" fillId="10" borderId="32" xfId="0" applyFont="1" applyFill="1" applyBorder="1" applyAlignment="1">
      <x:alignment vertical="top" wrapText="1"/>
    </x:xf>
    <x:xf numFmtId="0" fontId="7" fillId="11" borderId="0" xfId="0" applyFont="1" applyFill="1"/>
    <x:xf numFmtId="0" fontId="3" fillId="5" borderId="0" xfId="0" applyFont="1" applyFill="1"/>
    <x:xf numFmtId="1" fontId="8" fillId="10" borderId="0" xfId="0" applyNumberFormat="1" applyFont="1" applyFill="1"/>
    <x:xf numFmtId="0" fontId="6" fillId="7" borderId="30" xfId="0" applyFont="1" applyFill="1" applyBorder="1" applyAlignment="1">
      <x:alignment vertical="top" wrapText="1"/>
    </x:xf>
    <x:xf numFmtId="164" fontId="6" fillId="8" borderId="31" xfId="0" applyNumberFormat="1" applyFont="1" applyFill="1" applyBorder="1" applyAlignment="1">
      <x:alignment vertical="top" wrapText="1"/>
    </x:xf>
    <x:xf numFmtId="164" fontId="6" fillId="7" borderId="31" xfId="0" applyNumberFormat="1" applyFont="1" applyFill="1" applyBorder="1" applyAlignment="1">
      <x:alignment vertical="top" wrapText="1"/>
    </x:xf>
    <x:xf numFmtId="0" fontId="6" fillId="8" borderId="32" xfId="0" applyFont="1" applyFill="1" applyBorder="1" applyAlignment="1">
      <x:alignment vertical="top" wrapText="1"/>
    </x:xf>
    <x:xf numFmtId="164" fontId="6" fillId="10" borderId="30" xfId="0" applyNumberFormat="1" applyFont="1" applyFill="1" applyBorder="1" applyAlignment="1">
      <x:alignment vertical="top" wrapText="1"/>
    </x:xf>
    <x:xf numFmtId="164" fontId="6" fillId="10" borderId="31" xfId="0" applyNumberFormat="1" applyFont="1" applyFill="1" applyBorder="1" applyAlignment="1">
      <x:alignment vertical="top" wrapText="1"/>
    </x:xf>
    <x:xf numFmtId="0" fontId="6" fillId="7" borderId="33" xfId="0" applyFont="1" applyFill="1" applyBorder="1" applyAlignment="1">
      <x:alignment vertical="top" wrapText="1"/>
    </x:xf>
    <x:xf numFmtId="164" fontId="6" fillId="7" borderId="33" xfId="0" applyNumberFormat="1" applyFont="1" applyFill="1" applyBorder="1" applyAlignment="1">
      <x:alignment vertical="top" wrapText="1"/>
    </x:xf>
    <x:xf numFmtId="0" fontId="6" fillId="8" borderId="33" xfId="0" applyFont="1" applyFill="1" applyBorder="1" applyAlignment="1">
      <x:alignment vertical="top" wrapText="1"/>
    </x:xf>
    <x:xf numFmtId="164" fontId="6" fillId="8" borderId="33" xfId="0" applyNumberFormat="1" applyFont="1" applyFill="1" applyBorder="1" applyAlignment="1">
      <x:alignment vertical="top" wrapText="1"/>
    </x:xf>
    <x:xf numFmtId="1" fontId="6" fillId="8" borderId="31" xfId="0" applyNumberFormat="1" applyFont="1" applyFill="1" applyBorder="1" applyAlignment="1">
      <x:alignment vertical="top" wrapText="1"/>
    </x:xf>
    <x:xf numFmtId="1" fontId="6" fillId="7" borderId="31" xfId="0" applyNumberFormat="1" applyFont="1" applyFill="1" applyBorder="1" applyAlignment="1">
      <x:alignment vertical="top" wrapText="1"/>
    </x:xf>
    <x:xf numFmtId="1" fontId="6" fillId="8" borderId="32" xfId="0" applyNumberFormat="1" applyFont="1" applyFill="1" applyBorder="1" applyAlignment="1">
      <x:alignment vertical="top" wrapText="1"/>
    </x:xf>
    <x:xf numFmtId="0" fontId="3" fillId="6" borderId="0" xfId="0" applyFont="1" applyFill="1"/>
    <x:xf numFmtId="0" fontId="3" fillId="6" borderId="0" xfId="0" applyFont="1" applyFill="1" applyAlignment="1">
      <x:alignment wrapText="1"/>
    </x:xf>
    <x:xf numFmtId="9" fontId="7" fillId="8" borderId="30" xfId="0" applyNumberFormat="1" applyFont="1" applyFill="1" applyBorder="1" applyAlignment="1">
      <x:alignment vertical="top" wrapText="1"/>
    </x:xf>
    <x:xf numFmtId="168" fontId="7" fillId="7" borderId="31" xfId="0" applyNumberFormat="1" applyFont="1" applyFill="1" applyBorder="1" applyAlignment="1">
      <x:alignment vertical="top" wrapText="1"/>
    </x:xf>
    <x:xf numFmtId="0" fontId="7" fillId="8" borderId="31" xfId="0" applyFont="1" applyFill="1" applyBorder="1" applyAlignment="1">
      <x:alignment vertical="top" wrapText="1"/>
    </x:xf>
    <x:xf numFmtId="0" fontId="7" fillId="7" borderId="31" xfId="0" applyFont="1" applyFill="1" applyBorder="1" applyAlignment="1">
      <x:alignment vertical="top" wrapText="1"/>
    </x:xf>
    <x:xf numFmtId="0" fontId="7" fillId="8" borderId="32" xfId="0" applyFont="1" applyFill="1" applyBorder="1" applyAlignment="1">
      <x:alignment vertical="top" wrapText="1"/>
    </x:xf>
    <x:xf numFmtId="0" fontId="8" fillId="11" borderId="0" xfId="0" applyFont="1" applyFill="1"/>
    <x:xf numFmtId="0" fontId="7" fillId="11" borderId="7" xfId="0" applyFont="1" applyFill="1" applyBorder="1" applyAlignment="1">
      <x:alignment wrapText="1"/>
    </x:xf>
    <x:xf numFmtId="166" fontId="8" fillId="10" borderId="0" xfId="0" applyNumberFormat="1" applyFont="1" applyFill="1"/>
    <x:xf numFmtId="167" fontId="6" fillId="7" borderId="30" xfId="0" applyNumberFormat="1" applyFont="1" applyFill="1" applyBorder="1" applyAlignment="1">
      <x:alignment vertical="top" wrapText="1"/>
    </x:xf>
    <x:xf numFmtId="167" fontId="6" fillId="8" borderId="31" xfId="0" applyNumberFormat="1" applyFont="1" applyFill="1" applyBorder="1" applyAlignment="1">
      <x:alignment vertical="top" wrapText="1"/>
    </x:xf>
    <x:xf numFmtId="167" fontId="6" fillId="7" borderId="31" xfId="0" applyNumberFormat="1" applyFont="1" applyFill="1" applyBorder="1" applyAlignment="1">
      <x:alignment vertical="top" wrapText="1"/>
    </x:xf>
    <x:xf numFmtId="167" fontId="6" fillId="8" borderId="32" xfId="0" applyNumberFormat="1" applyFont="1" applyFill="1" applyBorder="1" applyAlignment="1">
      <x:alignment vertical="top" wrapText="1"/>
    </x:xf>
    <x:xf numFmtId="167" fontId="6" fillId="10" borderId="30" xfId="0" applyNumberFormat="1" applyFont="1" applyFill="1" applyBorder="1" applyAlignment="1">
      <x:alignment vertical="top" wrapText="1"/>
    </x:xf>
    <x:xf numFmtId="167" fontId="6" fillId="10" borderId="31" xfId="0" applyNumberFormat="1" applyFont="1" applyFill="1" applyBorder="1" applyAlignment="1">
      <x:alignment vertical="top" wrapText="1"/>
    </x:xf>
    <x:xf numFmtId="167" fontId="6" fillId="10" borderId="32" xfId="0" applyNumberFormat="1" applyFont="1" applyFill="1" applyBorder="1" applyAlignment="1">
      <x:alignment vertical="top" wrapText="1"/>
    </x:xf>
    <x:xf numFmtId="164" fontId="6" fillId="10" borderId="32" xfId="0" applyNumberFormat="1" applyFont="1" applyFill="1" applyBorder="1" applyAlignment="1">
      <x:alignment vertical="top" wrapText="1"/>
    </x:xf>
    <x:xf numFmtId="0" fontId="7" fillId="11" borderId="6" xfId="0" applyFont="1" applyFill="1" applyBorder="1" applyAlignment="1">
      <x:alignment vertical="top" wrapText="1"/>
    </x:xf>
    <x:xf numFmtId="167" fontId="7" fillId="11" borderId="6" xfId="0" applyNumberFormat="1" applyFont="1" applyFill="1" applyBorder="1" applyAlignment="1">
      <x:alignment vertical="top" wrapText="1"/>
    </x:xf>
    <x:xf numFmtId="0" fontId="3" fillId="14" borderId="27" xfId="0" applyFont="1" applyFill="1" applyBorder="1" applyAlignment="1">
      <x:alignment vertical="center" wrapText="1"/>
    </x:xf>
    <x:xf numFmtId="0" fontId="3" fillId="14" borderId="28" xfId="0" applyFont="1" applyFill="1" applyBorder="1" applyAlignment="1">
      <x:alignment vertical="center" wrapText="1"/>
    </x:xf>
    <x:xf numFmtId="0" fontId="3" fillId="14" borderId="34" xfId="0" applyFont="1" applyFill="1" applyBorder="1" applyAlignment="1">
      <x:alignment vertical="center" wrapText="1"/>
    </x:xf>
    <x:xf numFmtId="0" fontId="6" fillId="13" borderId="31" xfId="0" applyFont="1" applyFill="1" applyBorder="1" applyAlignment="1">
      <x:alignment vertical="top" wrapText="1"/>
    </x:xf>
    <x:xf numFmtId="0" fontId="6" fillId="15" borderId="31" xfId="0" applyFont="1" applyFill="1" applyBorder="1" applyAlignment="1">
      <x:alignment vertical="top" wrapText="1"/>
    </x:xf>
    <x:xf numFmtId="0" fontId="8" fillId="16" borderId="31" xfId="0" applyFont="1" applyFill="1" applyBorder="1" applyAlignment="1">
      <x:alignment vertical="top" wrapText="1"/>
    </x:xf>
    <x:xf numFmtId="0" fontId="6" fillId="15" borderId="35" xfId="0" applyFont="1" applyFill="1" applyBorder="1" applyAlignment="1">
      <x:alignment vertical="top" wrapText="1"/>
    </x:xf>
    <x:xf numFmtId="0" fontId="8" fillId="16" borderId="35" xfId="0" applyFont="1" applyFill="1" applyBorder="1" applyAlignment="1">
      <x:alignment vertical="top" wrapText="1"/>
    </x:xf>
    <x:xf numFmtId="0" fontId="8" fillId="15" borderId="35" xfId="0" applyFont="1" applyFill="1" applyBorder="1" applyAlignment="1">
      <x:alignment vertical="top" wrapText="1"/>
    </x:xf>
    <x:xf numFmtId="0" fontId="6" fillId="13" borderId="35" xfId="0" applyFont="1" applyFill="1" applyBorder="1" applyAlignment="1">
      <x:alignment vertical="top" wrapText="1"/>
    </x:xf>
    <x:xf numFmtId="0" fontId="8" fillId="13" borderId="35" xfId="0" applyFont="1" applyFill="1" applyBorder="1" applyAlignment="1">
      <x:alignment vertical="top" wrapText="1"/>
    </x:xf>
    <x:xf numFmtId="0" fontId="6" fillId="15" borderId="36" xfId="0" applyFont="1" applyFill="1" applyBorder="1" applyAlignment="1">
      <x:alignment vertical="top" wrapText="1"/>
    </x:xf>
    <x:xf numFmtId="0" fontId="8" fillId="16" borderId="36" xfId="0" applyFont="1" applyFill="1" applyBorder="1" applyAlignment="1">
      <x:alignment vertical="top" wrapText="1"/>
    </x:xf>
    <x:xf numFmtId="0" fontId="8" fillId="15" borderId="36" xfId="0" applyFont="1" applyFill="1" applyBorder="1" applyAlignment="1">
      <x:alignment vertical="top" wrapText="1"/>
    </x:xf>
    <x:xf numFmtId="14" fontId="0" fillId="0" borderId="0" xfId="0" applyNumberFormat="1"/>
    <x:xf numFmtId="1" fontId="8" fillId="17" borderId="0" xfId="0" applyNumberFormat="1" applyFont="1" applyFill="1"/>
    <x:xf numFmtId="14" fontId="8" fillId="17" borderId="0" xfId="0" applyNumberFormat="1" applyFont="1" applyFill="1"/>
    <x:xf numFmtId="164" fontId="8" fillId="10" borderId="0" xfId="0" applyNumberFormat="1" applyFont="1" applyFill="1"/>
    <x:xf numFmtId="0" fontId="0" fillId="18" borderId="0" xfId="0" applyFill="1"/>
    <x:xf numFmtId="0" fontId="2" fillId="18" borderId="0" xfId="0" applyFont="1" applyFill="1" applyAlignment="1">
      <x:alignment horizontal="left"/>
    </x:xf>
    <x:xf numFmtId="14" fontId="0" fillId="18" borderId="0" xfId="0" applyNumberFormat="1" applyFill="1"/>
    <x:xf numFmtId="0" fontId="2" fillId="18" borderId="0" xfId="0" applyFont="1" applyFill="1"/>
    <x:xf numFmtId="0" fontId="0" fillId="18" borderId="0" xfId="0" applyFill="1" applyAlignment="1">
      <x:alignment horizontal="left"/>
    </x:xf>
    <x:xf numFmtId="0" fontId="0" fillId="21" borderId="0" xfId="0" applyFill="1"/>
    <x:xf numFmtId="14" fontId="3" fillId="6" borderId="28" xfId="0" applyNumberFormat="1" applyFont="1" applyFill="1" applyBorder="1" applyAlignment="1">
      <x:alignment vertical="center" wrapText="1"/>
    </x:xf>
    <x:xf numFmtId="0" fontId="5" fillId="21" borderId="0" xfId="0" applyFont="1" applyFill="1" applyAlignment="1">
      <x:alignment horizontal="center"/>
    </x:xf>
    <x:xf numFmtId="0" fontId="10" fillId="18" borderId="13" xfId="1" applyFont="1" applyFill="1"/>
    <x:xf numFmtId="0" fontId="10" fillId="19" borderId="9" xfId="1" applyFont="1" applyFill="1" applyBorder="1"/>
    <x:xf numFmtId="0" fontId="11" fillId="19" borderId="10" xfId="1" applyFont="1" applyFill="1" applyBorder="1"/>
    <x:xf numFmtId="0" fontId="10" fillId="19" borderId="10" xfId="1" applyFont="1" applyFill="1" applyBorder="1"/>
    <x:xf numFmtId="169" fontId="10" fillId="18" borderId="13" xfId="1" applyNumberFormat="1" applyFont="1" applyFill="1" applyAlignment="1">
      <x:alignment horizontal="right"/>
    </x:xf>
    <x:xf numFmtId="0" fontId="11" fillId="18" borderId="8" xfId="1" applyFont="1" applyFill="1" applyBorder="1" applyAlignment="1">
      <x:alignment horizontal="center"/>
    </x:xf>
    <x:xf numFmtId="0" fontId="10" fillId="18" borderId="8" xfId="1" applyFont="1" applyFill="1" applyBorder="1"/>
    <x:xf numFmtId="44" fontId="10" fillId="18" borderId="8" xfId="1" applyNumberFormat="1" applyFont="1" applyFill="1" applyBorder="1"/>
    <x:xf numFmtId="170" fontId="10" fillId="18" borderId="8" xfId="1" applyNumberFormat="1" applyFont="1" applyFill="1" applyBorder="1"/>
    <x:xf numFmtId="0" fontId="11" fillId="18" borderId="8" xfId="1" applyFont="1" applyFill="1" applyBorder="1"/>
    <x:xf numFmtId="44" fontId="11" fillId="18" borderId="8" xfId="1" applyNumberFormat="1" applyFont="1" applyFill="1" applyBorder="1"/>
    <x:xf numFmtId="170" fontId="11" fillId="18" borderId="8" xfId="1" applyNumberFormat="1" applyFont="1" applyFill="1" applyBorder="1"/>
    <x:xf numFmtId="171" fontId="10" fillId="18" borderId="8" xfId="2" applyNumberFormat="1" applyFont="1" applyFill="1" applyBorder="1"/>
    <x:xf numFmtId="0" fontId="11" fillId="18" borderId="13" xfId="1" applyFont="1" applyFill="1"/>
    <x:xf numFmtId="170" fontId="11" fillId="18" borderId="13" xfId="1" applyNumberFormat="1" applyFont="1" applyFill="1"/>
    <x:xf numFmtId="44" fontId="11" fillId="18" borderId="13" xfId="1" applyNumberFormat="1" applyFont="1" applyFill="1" applyAlignment="1">
      <x:alignment horizontal="right"/>
    </x:xf>
    <x:xf numFmtId="0" fontId="10" fillId="20" borderId="9" xfId="1" applyFont="1" applyFill="1" applyBorder="1"/>
    <x:xf numFmtId="0" fontId="11" fillId="20" borderId="10" xfId="1" applyFont="1" applyFill="1" applyBorder="1"/>
    <x:xf numFmtId="0" fontId="10" fillId="20" borderId="10" xfId="1" applyFont="1" applyFill="1" applyBorder="1"/>
    <x:xf numFmtId="0" fontId="11" fillId="18" borderId="8" xfId="1" applyFont="1" applyFill="1" applyBorder="1" applyAlignment="1">
      <x:alignment horizontal="center" vertical="center"/>
    </x:xf>
    <x:xf numFmtId="0" fontId="11" fillId="18" borderId="8" xfId="1" applyFont="1" applyFill="1" applyBorder="1" applyAlignment="1">
      <x:alignment horizontal="center" vertical="center" wrapText="1"/>
    </x:xf>
    <x:xf numFmtId="172" fontId="10" fillId="18" borderId="8" xfId="1" applyNumberFormat="1" applyFont="1" applyFill="1" applyBorder="1"/>
    <x:xf numFmtId="43" fontId="10" fillId="18" borderId="8" xfId="1" applyNumberFormat="1" applyFont="1" applyFill="1" applyBorder="1"/>
    <x:xf numFmtId="0" fontId="10" fillId="18" borderId="8" xfId="1" applyFont="1" applyFill="1" applyBorder="1" applyAlignment="1">
      <x:alignment horizontal="center" vertical="center" wrapText="1"/>
    </x:xf>
    <x:xf numFmtId="0" fontId="12" fillId="18" borderId="8" xfId="1" applyFont="1" applyFill="1" applyBorder="1" applyAlignment="1">
      <x:alignment vertical="center" wrapText="1"/>
    </x:xf>
    <x:xf numFmtId="0" fontId="12" fillId="18" borderId="8" xfId="1" applyFont="1" applyFill="1" applyBorder="1" applyAlignment="1">
      <x:alignment horizontal="center" vertical="center" wrapText="1"/>
    </x:xf>
    <x:xf numFmtId="1" fontId="12" fillId="18" borderId="8" xfId="1" applyNumberFormat="1" applyFont="1" applyFill="1" applyBorder="1" applyAlignment="1">
      <x:alignment horizontal="center" vertical="center" wrapText="1"/>
    </x:xf>
    <x:xf numFmtId="169" fontId="12" fillId="18" borderId="8" xfId="3" applyNumberFormat="1" applyFont="1" applyFill="1" applyBorder="1" applyAlignment="1">
      <x:alignment vertical="center" wrapText="1"/>
    </x:xf>
    <x:xf numFmtId="173" fontId="12" fillId="18" borderId="8" xfId="1" applyNumberFormat="1" applyFont="1" applyFill="1" applyBorder="1" applyAlignment="1">
      <x:alignment vertical="center" wrapText="1"/>
    </x:xf>
    <x:xf numFmtId="1" fontId="12" fillId="18" borderId="8" xfId="1" applyNumberFormat="1" applyFont="1" applyFill="1" applyBorder="1" applyAlignment="1">
      <x:alignment vertical="center" wrapText="1"/>
    </x:xf>
    <x:xf numFmtId="0" fontId="12" fillId="18" borderId="13" xfId="1" applyFont="1" applyFill="1"/>
    <x:xf numFmtId="0" fontId="1" fillId="18" borderId="0" xfId="0" applyFont="1" applyFill="1" applyAlignment="1">
      <x:alignment horizontal="left"/>
    </x:xf>
    <x:xf numFmtId="0" fontId="3" fillId="21" borderId="11" xfId="0" applyFont="1" applyFill="1" applyBorder="1" applyAlignment="1">
      <x:alignment vertical="center"/>
    </x:xf>
    <x:xf numFmtId="0" fontId="3" fillId="21" borderId="12" xfId="0" applyFont="1" applyFill="1" applyBorder="1" applyAlignment="1">
      <x:alignment vertical="center"/>
    </x:xf>
    <x:xf numFmtId="0" fontId="3" fillId="21" borderId="13" xfId="0" applyFont="1" applyFill="1" applyBorder="1" applyAlignment="1">
      <x:alignment vertical="center"/>
    </x:xf>
    <x:xf numFmtId="0" fontId="11" fillId="18" borderId="9" xfId="1" applyFont="1" applyFill="1" applyBorder="1" applyAlignment="1">
      <x:alignment horizontal="center"/>
    </x:xf>
    <x:xf numFmtId="0" fontId="11" fillId="18" borderId="10" xfId="1" applyFont="1" applyFill="1" applyBorder="1" applyAlignment="1">
      <x:alignment horizontal="center"/>
    </x:xf>
    <x:xf numFmtId="0" fontId="11" fillId="18" borderId="40" xfId="1" applyFont="1" applyFill="1" applyBorder="1" applyAlignment="1">
      <x:alignment horizontal="center"/>
    </x:xf>
    <x:xf numFmtId="0" fontId="11" fillId="18" borderId="8" xfId="1" applyFont="1" applyFill="1" applyBorder="1" applyAlignment="1">
      <x:alignment horizontal="center"/>
    </x:xf>
    <x:xf numFmtId="0" fontId="10" fillId="18" borderId="8" xfId="1" applyFont="1" applyFill="1" applyBorder="1" applyAlignment="1">
      <x:alignment horizontal="center"/>
    </x:xf>
    <x:xf numFmtId="0" fontId="3" fillId="5" borderId="11" xfId="0" applyFont="1" applyFill="1" applyBorder="1" applyAlignment="1">
      <x:alignment vertical="center"/>
    </x:xf>
    <x:xf numFmtId="0" fontId="3" fillId="5" borderId="12" xfId="0" applyFont="1" applyFill="1" applyBorder="1" applyAlignment="1">
      <x:alignment vertical="center"/>
    </x:xf>
    <x:xf numFmtId="0" fontId="3" fillId="5" borderId="13" xfId="0" applyFont="1" applyFill="1" applyBorder="1" applyAlignment="1">
      <x:alignment vertical="center"/>
    </x:xf>
    <x:xf numFmtId="0" fontId="7" fillId="7" borderId="20" xfId="0" applyFont="1" applyFill="1" applyBorder="1" applyAlignment="1">
      <x:alignment vertical="center" wrapText="1"/>
    </x:xf>
    <x:xf numFmtId="0" fontId="7" fillId="7" borderId="21" xfId="0" applyFont="1" applyFill="1" applyBorder="1" applyAlignment="1">
      <x:alignment vertical="center" wrapText="1"/>
    </x:xf>
    <x:xf numFmtId="0" fontId="3" fillId="5" borderId="37" xfId="0" applyFont="1" applyFill="1" applyBorder="1" applyAlignment="1">
      <x:alignment horizontal="center" vertical="center"/>
    </x:xf>
    <x:xf numFmtId="0" fontId="3" fillId="5" borderId="38" xfId="0" applyFont="1" applyFill="1" applyBorder="1" applyAlignment="1">
      <x:alignment horizontal="center" vertical="center"/>
    </x:xf>
    <x:xf numFmtId="0" fontId="3" fillId="5" borderId="39" xfId="0" applyFont="1" applyFill="1" applyBorder="1" applyAlignment="1">
      <x:alignment horizontal="center" vertical="center"/>
    </x:xf>
    <x:xf numFmtId="0" fontId="3" fillId="5" borderId="0" xfId="0" applyFont="1" applyFill="1" applyAlignment="1">
      <x:alignment vertical="center"/>
    </x:xf>
    <x:xf numFmtId="0" fontId="7" fillId="11" borderId="0" xfId="0" applyFont="1" applyFill="1"/>
    <x:xf numFmtId="0" fontId="3" fillId="9" borderId="8" xfId="0" applyFont="1" applyFill="1" applyBorder="1" applyAlignment="1">
      <x:alignment vertical="center"/>
    </x:xf>
    <x:xf numFmtId="0" fontId="3" fillId="9" borderId="0" xfId="0" applyFont="1" applyFill="1" applyAlignment="1">
      <x:alignment vertical="center"/>
    </x:xf>
    <x:xf numFmtId="0" fontId="6" fillId="7" borderId="0" xfId="0" applyFont="1" applyFill="1" applyAlignment="1">
      <x:alignment wrapText="1"/>
    </x:xf>
    <x:xf numFmtId="0" fontId="7" fillId="11" borderId="3" xfId="0" applyFont="1" applyFill="1" applyBorder="1" applyAlignment="1">
      <x:alignment vertical="center" wrapText="1"/>
    </x:xf>
    <x:xf numFmtId="0" fontId="7" fillId="11" borderId="4" xfId="0" applyFont="1" applyFill="1" applyBorder="1" applyAlignment="1">
      <x:alignment vertical="center" wrapText="1"/>
    </x:xf>
    <x:xf numFmtId="0" fontId="7" fillId="11" borderId="5" xfId="0" applyFont="1" applyFill="1" applyBorder="1" applyAlignment="1">
      <x:alignment vertical="center" wrapText="1"/>
    </x:xf>
    <x:xf numFmtId="0" fontId="9" fillId="7" borderId="0" xfId="0" applyFont="1" applyFill="1" applyAlignment="1">
      <x:alignment vertical="center"/>
    </x:xf>
    <x:xf numFmtId="0" fontId="3" fillId="12" borderId="0" xfId="0" applyFont="1" applyFill="1" applyAlignment="1">
      <x:alignment vertical="center"/>
    </x:xf>
    <x:xf numFmtId="0" fontId="9" fillId="13" borderId="0" xfId="0" applyFont="1" applyFill="1"/>
    <x:xf numFmtId="0" fontId="3" fillId="12" borderId="0" xfId="0" applyFont="1" applyFill="1"/>
    <x:xf numFmtId="164" fontId="6" fillId="8" borderId="32" xfId="0" applyNumberFormat="1" applyFont="1" applyFill="1" applyBorder="1" applyAlignment="1">
      <x:alignment vertical="top" wrapText="1"/>
    </x:xf>
    <x:xf numFmtId="1" fontId="6" fillId="22" borderId="30" xfId="0" applyNumberFormat="1" applyFont="1" applyFill="1" applyBorder="1" applyAlignment="1">
      <x:alignment vertical="top" wrapText="1"/>
    </x:xf>
    <x:xf numFmtId="0" fontId="6" fillId="22" borderId="30" xfId="0" applyFont="1" applyFill="1" applyBorder="1" applyAlignment="1">
      <x:alignment vertical="top" wrapText="1"/>
    </x:xf>
    <x:xf numFmtId="0" fontId="6" fillId="7" borderId="30" xfId="0" applyNumberFormat="1" applyFont="1" applyFill="1" applyBorder="1" applyAlignment="1">
      <x:alignment vertical="top" wrapText="1"/>
    </x:xf>
    <x:xf numFmtId="0" fontId="6" fillId="8" borderId="3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4">
    <x:cellStyle name="Millares 2" xfId="2"/>
    <x:cellStyle name="Moneda 2" xfId="3"/>
    <x:cellStyle name="Normal" xfId="0"/>
    <x:cellStyle name="Normal 2" xfId="1"/>
  </x:cellStyles>
  <x:dxfs count="21">
    <x:dxf>
      <x:font>
        <x:i/>
        <x:color rgb="FF6B7280"/>
      </x:font>
      <x:fill>
        <x:patternFill>
          <x:bgColor rgb="FFF4F4F5"/>
        </x:patternFill>
      </x:fill>
    </x:dxf>
    <x:dxf>
      <x:font>
        <x:color rgb="FF7A4E00"/>
      </x:font>
      <x:fill>
        <x:patternFill>
          <x:bgColor rgb="FFFFF4CC"/>
        </x:patternFill>
      </x:fill>
    </x:dxf>
    <x:dxf>
      <x:font>
        <x:i/>
        <x:color rgb="FF6B7280"/>
      </x:font>
      <x:fill>
        <x:patternFill>
          <x:bgColor rgb="FFF4F4F5"/>
        </x:patternFill>
      </x:fill>
    </x:dxf>
    <x:dxf>
      <x:font>
        <x:color rgb="FF7A4E00"/>
      </x:font>
      <x:fill>
        <x:patternFill>
          <x:bgColor rgb="FFFFF4CC"/>
        </x:patternFill>
      </x:fill>
    </x:dxf>
    <x:dxf>
      <x:font>
        <x:i/>
        <x:color rgb="FF6B7280"/>
      </x:font>
      <x:fill>
        <x:patternFill>
          <x:bgColor rgb="FFF4F4F5"/>
        </x:patternFill>
      </x:fill>
    </x:dxf>
    <x:dxf>
      <x:font>
        <x:color rgb="FF7A4E00"/>
      </x:font>
      <x:fill>
        <x:patternFill>
          <x:bgColor rgb="FFFFF4CC"/>
        </x:patternFill>
      </x:fill>
    </x:dxf>
    <x:dxf>
      <x:font>
        <x:color rgb="FF7A4E00"/>
      </x:font>
      <x:fill>
        <x:patternFill>
          <x:bgColor rgb="FFFFF4CC"/>
        </x:patternFill>
      </x:fill>
    </x:dxf>
    <x:dxf>
      <x:font>
        <x:color rgb="FF7A4E00"/>
      </x:font>
      <x:fill>
        <x:patternFill>
          <x:bgColor rgb="FFFFF4CC"/>
        </x:patternFill>
      </x:fill>
    </x:dxf>
    <x:dxf>
      <x:font>
        <x:b/>
        <x:color rgb="FF8F172E"/>
      </x:font>
      <x:fill>
        <x:patternFill>
          <x:bgColor rgb="FFFBEAEC"/>
        </x:patternFill>
      </x:fill>
    </x:dxf>
    <x:dxf>
      <x:font>
        <x:b/>
        <x:color rgb="FF8F172E"/>
      </x:font>
      <x:fill>
        <x:patternFill>
          <x:bgColor rgb="FFFBEAEC"/>
        </x:patternFill>
      </x:fill>
    </x:dxf>
    <x:dxf>
      <x:font>
        <x:b/>
        <x:color rgb="FF8F172E"/>
      </x:font>
      <x:fill>
        <x:patternFill>
          <x:bgColor rgb="FFFBEAEC"/>
        </x:patternFill>
      </x:fill>
    </x:dxf>
    <x:dxf>
      <x:font>
        <x:b/>
        <x:color rgb="FF9F1239"/>
      </x:font>
      <x:fill>
        <x:patternFill>
          <x:bgColor rgb="FFFBEAEC"/>
        </x:patternFill>
      </x:fill>
    </x:dxf>
    <x:dxf>
      <x:font>
        <x:b/>
        <x:color rgb="FF2F6B45"/>
      </x:font>
      <x:fill>
        <x:patternFill>
          <x:bgColor rgb="FFE8F3EB"/>
        </x:patternFill>
      </x:fill>
    </x:dxf>
    <x:dxf>
      <x:font>
        <x:color rgb="FF8A5A00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DE8E7"/>
        </x:patternFill>
      </x:fill>
    </x:dxf>
    <x:dxf>
      <x:font>
        <x:b/>
        <x:color rgb="FF854D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F1239"/>
      </x:font>
      <x:fill>
        <x:patternFill>
          <x:bgColor rgb="FFFBEAEC"/>
        </x:patternFill>
      </x:fill>
    </x:dxf>
    <x:dxf>
      <x:font>
        <x:b/>
        <x:color rgb="FF2F6B45"/>
      </x:font>
      <x:fill>
        <x:patternFill>
          <x:bgColor rgb="FFE8F3EB"/>
        </x:patternFill>
      </x:fill>
    </x:dxf>
    <x:dxf>
      <x:font>
        <x:color rgb="FF8A5A00"/>
      </x:font>
      <x:fill>
        <x:patternFill>
          <x:bgColor rgb="FFFFF4CC"/>
        </x:patternFill>
      </x:fill>
    </x:dxf>
    <x:dxf>
      <x:numFmt numFmtId="164" formatCode="0.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a8bd3582642ad" /><Relationship Type="http://schemas.openxmlformats.org/officeDocument/2006/relationships/theme" Target="/xl/theme/theme1.xml" Id="R07e9620d61cf4a6f" /><Relationship Type="http://schemas.openxmlformats.org/officeDocument/2006/relationships/sharedStrings" Target="/xl/sharedStrings.xml" Id="R02ec0058579e466a" /><Relationship Type="http://schemas.openxmlformats.org/officeDocument/2006/relationships/worksheet" Target="/xl/worksheets/sheet1.xml" Id="Rf14df5cdaa7f4865" /><Relationship Type="http://schemas.openxmlformats.org/officeDocument/2006/relationships/worksheet" Target="/xl/worksheets/sheet2.xml" Id="R8553a85e0ed448df" /><Relationship Type="http://schemas.openxmlformats.org/officeDocument/2006/relationships/worksheet" Target="/xl/worksheets/sheet3.xml" Id="R54350745ca644208" /><Relationship Type="http://schemas.openxmlformats.org/officeDocument/2006/relationships/worksheet" Target="/xl/worksheets/sheet4.xml" Id="Rfe04029d1ab84d5c" /><Relationship Type="http://schemas.openxmlformats.org/officeDocument/2006/relationships/worksheet" Target="/xl/worksheets/sheet5.xml" Id="R21a1db078fee4226" /><Relationship Type="http://schemas.openxmlformats.org/officeDocument/2006/relationships/worksheet" Target="/xl/worksheets/sheet6.xml" Id="R4f295c53413946d5" /><Relationship Type="http://schemas.openxmlformats.org/officeDocument/2006/relationships/worksheet" Target="/xl/worksheets/sheet7.xml" Id="Rbe2c6894ef3d4537" /><Relationship Type="http://schemas.openxmlformats.org/officeDocument/2006/relationships/worksheet" Target="/xl/worksheets/sheet8.xml" Id="R5065603f88b644fa" /><Relationship Type="http://schemas.openxmlformats.org/officeDocument/2006/relationships/worksheet" Target="/xl/worksheets/sheet9.xml" Id="Rb544a96b37344087" /><Relationship Type="http://schemas.openxmlformats.org/officeDocument/2006/relationships/worksheet" Target="/xl/worksheets/sheet10.xml" Id="R3ffb0216394546f2" /></Relationships>
</file>

<file path=xl/tables/table1.xml><?xml version="1.0" encoding="utf-8"?>
<x:table xmlns:x="http://schemas.openxmlformats.org/spreadsheetml/2006/main" id="1" name="MvpBacklogTable" displayName="MvpBacklogTable" ref="A4:J34" totalsRowShown="0">
  <x:autoFilter ref="A4:J34"/>
  <x:tableColumns count="10">
    <x:tableColumn id="1" name="ID"/>
    <x:tableColumn id="2" name="Feature"/>
    <x:tableColumn id="3" name="Módulo"/>
    <x:tableColumn id="4" name="En MVP"/>
    <x:tableColumn id="5" name="Prioridad"/>
    <x:tableColumn id="6" name="Estado"/>
    <x:tableColumn id="7" name="Owner"/>
    <x:tableColumn id="8" name="Estimación (días)"/>
    <x:tableColumn id="9" name="Bloqueador actual"/>
    <x:tableColumn id="10" name="Criterio de cier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WeeklyExecutionTable" displayName="WeeklyExecutionTable" ref="A7:I53" totalsRowShown="0">
  <x:tableColumns count="9">
    <x:tableColumn id="1" name="Clave"/>
    <x:tableColumn id="2" name="Semana"/>
    <x:tableColumn id="3" name="Persona"/>
    <x:tableColumn id="4" name="Comprometido"/>
    <x:tableColumn id="5" name="Completado"/>
    <x:tableColumn id="6" name="Horas reales" dataDxfId="20">
      <x:calculatedColumnFormula>8*7+10</x:calculatedColumnFormula>
    </x:tableColumn>
    <x:tableColumn id="7" name="Bloqueadores"/>
    <x:tableColumn id="9" name="Estado"/>
    <x:tableColumn id="11" name="Próxima acció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7a73fee5fd96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9275b8ca20ca48d2" /></Relationships>
</file>

<file path=xl/worksheets/sheet1.xml><?xml version="1.0" encoding="utf-8"?>
<x:worksheet xmlns:x="http://schemas.openxmlformats.org/spreadsheetml/2006/main">
  <x:sheetFormatPr baseColWidth="10" defaultRowHeight="12.75"/>
  <x:cols>
    <x:col min="1" max="1" width="3.25" style="104" customWidth="1"/>
    <x:col min="2" max="2" width="10.625" style="104" customWidth="1"/>
    <x:col min="3" max="3" width="9.75" style="104" customWidth="1"/>
    <x:col min="4" max="4" width="9.625" style="104" customWidth="1"/>
    <x:col min="5" max="5" width="10" style="104" customWidth="1"/>
    <x:col min="6" max="6" width="9.5" style="104" customWidth="1"/>
    <x:col min="7" max="7" width="11" style="104" customWidth="1"/>
    <x:col min="8" max="8" width="12.875" style="104" customWidth="1"/>
    <x:col min="9" max="9" width="11.75" style="104" customWidth="1"/>
    <x:col min="10" max="10" width="11.5" style="104" customWidth="1"/>
    <x:col min="11" max="16384" width="11" style="104" customWidth="0"/>
  </x:cols>
  <x:sheetData>
    <x:row r="1">
      <x:c r="B1" s="104" t="s">
        <x:v>0</x:v>
      </x:c>
      <x:c r="C1" s="104">
        <x:v>3.4</x:v>
      </x:c>
    </x:row>
    <x:row r="2" s="107" customFormat="1">
      <x:c r="A2" s="105" t="s">
        <x:v>1</x:v>
      </x:c>
      <x:c r="B2" s="106" t="s">
        <x:v>2</x:v>
      </x:c>
    </x:row>
    <x:row r="3">
      <x:c r="B3" s="104" t="s">
        <x:v>3</x:v>
      </x:c>
      <x:c r="F3" s="108" t="n">
        <x:f>AVERAGE(H19:H22)</x:f>
        <x:v>0.0076726562500000015</x:v>
      </x:c>
    </x:row>
    <x:row r="4">
      <x:c r="F4" s="108"/>
    </x:row>
    <x:row r="5">
      <x:c r="B5" s="109" t="s">
        <x:v>4</x:v>
      </x:c>
      <x:c r="C5" s="109" t="s">
        <x:v>5</x:v>
      </x:c>
      <x:c r="D5" s="109" t="s">
        <x:v>6</x:v>
      </x:c>
      <x:c r="E5" s="142" t="s">
        <x:v>7</x:v>
      </x:c>
      <x:c r="F5" s="142"/>
    </x:row>
    <x:row r="6">
      <x:c r="B6" s="110">
        <x:v>10</x:v>
      </x:c>
      <x:c r="C6" s="111" t="n">
        <x:f>B6*$F$3</x:f>
        <x:v>0.07672656250000001</x:v>
      </x:c>
      <x:c r="D6" s="112" t="n">
        <x:f>C6*$C$1</x:f>
        <x:v>0.26087031250000003</x:v>
      </x:c>
      <x:c r="E6" s="143" t="s">
        <x:v>8</x:v>
      </x:c>
      <x:c r="F6" s="143"/>
    </x:row>
    <x:row r="7">
      <x:c r="B7" s="113" t="n">
        <x:f>B6*10</x:f>
        <x:v>100</x:v>
      </x:c>
      <x:c r="C7" s="114" t="n">
        <x:f>B7*$F$3</x:f>
        <x:v>0.7672656250000002</x:v>
      </x:c>
      <x:c r="D7" s="115" t="n">
        <x:f t="shared" ref="D7:D10" si="0">C7*$C$1</x:f>
        <x:v>2.6087031250000003</x:v>
      </x:c>
      <x:c r="E7" s="142" t="s">
        <x:v>9</x:v>
      </x:c>
      <x:c r="F7" s="142"/>
    </x:row>
    <x:row r="8">
      <x:c r="B8" s="116" t="n">
        <x:f>B7*10</x:f>
        <x:v>1000</x:v>
      </x:c>
      <x:c r="C8" s="111" t="n">
        <x:f>B8*$F$3</x:f>
        <x:v>7.672656250000002</x:v>
      </x:c>
      <x:c r="D8" s="112">
        <x:f t="shared" si="0"/>
        <x:v>26.087031250000006</x:v>
      </x:c>
      <x:c r="E8" s="143" t="s">
        <x:v>10</x:v>
      </x:c>
      <x:c r="F8" s="143"/>
    </x:row>
    <x:row r="9">
      <x:c r="B9" s="116" t="n">
        <x:f>B8*10</x:f>
        <x:v>10000</x:v>
      </x:c>
      <x:c r="C9" s="111" t="n">
        <x:f>B9*$F$3</x:f>
        <x:v>76.72656250000001</x:v>
      </x:c>
      <x:c r="D9" s="112">
        <x:f t="shared" si="0"/>
        <x:v>260.87031250000007</x:v>
      </x:c>
      <x:c r="E9" s="143" t="s">
        <x:v>11</x:v>
      </x:c>
      <x:c r="F9" s="143"/>
    </x:row>
    <x:row r="10">
      <x:c r="B10" s="116" t="n">
        <x:f>B9*10</x:f>
        <x:v>100000</x:v>
      </x:c>
      <x:c r="C10" s="111" t="n">
        <x:f>B10*$F$3</x:f>
        <x:v>767.2656250000001</x:v>
      </x:c>
      <x:c r="D10" s="112">
        <x:f t="shared" si="0"/>
        <x:v>2608.7031250000005</x:v>
      </x:c>
      <x:c r="E10" s="143" t="s">
        <x:v>12</x:v>
      </x:c>
      <x:c r="F10" s="143"/>
    </x:row>
    <x:row r="11">
      <x:c r="B11" s="117"/>
      <x:c r="C11" s="117"/>
      <x:c r="D11" s="118"/>
      <x:c r="E11" s="117"/>
      <x:c r="F11" s="119"/>
    </x:row>
    <x:row r="12" s="122" customFormat="1">
      <x:c r="A12" s="120" t="s">
        <x:v>13</x:v>
      </x:c>
      <x:c r="B12" s="121" t="s">
        <x:v>2</x:v>
      </x:c>
    </x:row>
    <x:row r="13">
      <x:c r="B13" s="104" t="s">
        <x:v>14</x:v>
      </x:c>
      <x:c r="G13" s="104" t="s">
        <x:v>15</x:v>
      </x:c>
    </x:row>
    <x:row r="14">
      <x:c r="B14" s="123" t="s">
        <x:v>16</x:v>
      </x:c>
      <x:c r="C14" s="123" t="s">
        <x:v>5</x:v>
      </x:c>
      <x:c r="D14" s="123" t="s">
        <x:v>17</x:v>
      </x:c>
      <x:c r="G14" s="123" t="s">
        <x:v>16</x:v>
      </x:c>
      <x:c r="H14" s="124" t="s">
        <x:v>18</x:v>
      </x:c>
      <x:c r="I14" s="124" t="s">
        <x:v>19</x:v>
      </x:c>
    </x:row>
    <x:row r="15">
      <x:c r="B15" s="116">
        <x:v>1000000</x:v>
      </x:c>
      <x:c r="C15" s="110">
        <x:v>10</x:v>
      </x:c>
      <x:c r="D15" s="125" t="n">
        <x:f>C15/B15</x:f>
        <x:v>0.00001</x:v>
      </x:c>
      <x:c r="G15" s="116">
        <x:v>460</x:v>
      </x:c>
      <x:c r="H15" s="110">
        <x:v>64</x:v>
      </x:c>
      <x:c r="I15" s="126" t="n">
        <x:f>G15/H15</x:f>
        <x:v>7.1875</x:v>
      </x:c>
    </x:row>
    <x:row r="17">
      <x:c r="C17" s="139" t="s">
        <x:v>20</x:v>
      </x:c>
      <x:c r="D17" s="140"/>
      <x:c r="E17" s="141"/>
      <x:c r="F17" s="139" t="s">
        <x:v>21</x:v>
      </x:c>
      <x:c r="G17" s="140"/>
      <x:c r="H17" s="141"/>
    </x:row>
    <x:row r="18" ht="43.5" customHeight="1">
      <x:c r="B18" s="127" t="s">
        <x:v>22</x:v>
      </x:c>
      <x:c r="C18" s="127" t="s">
        <x:v>23</x:v>
      </x:c>
      <x:c r="D18" s="127" t="s">
        <x:v>24</x:v>
      </x:c>
      <x:c r="E18" s="127" t="s">
        <x:v>25</x:v>
      </x:c>
      <x:c r="F18" s="127" t="s">
        <x:v>26</x:v>
      </x:c>
      <x:c r="G18" s="127" t="s">
        <x:v>27</x:v>
      </x:c>
      <x:c r="H18" s="127" t="s">
        <x:v>25</x:v>
      </x:c>
    </x:row>
    <x:row r="19">
      <x:c r="B19" s="128" t="s">
        <x:v>28</x:v>
      </x:c>
      <x:c r="C19" s="129">
        <x:v>20</x:v>
      </x:c>
      <x:c r="D19" s="130" t="n">
        <x:f>C19*$I$15</x:f>
        <x:v>143.75</x:v>
      </x:c>
      <x:c r="E19" s="131" t="n">
        <x:f>D19*$D$15</x:f>
        <x:v>0.0014375000000000002</x:v>
      </x:c>
      <x:c r="F19" s="132">
        <x:v>24</x:v>
      </x:c>
      <x:c r="G19" s="133" t="n">
        <x:f>F19*$I$15</x:f>
        <x:v>172.5</x:v>
      </x:c>
      <x:c r="H19" s="131" t="n">
        <x:f>G19*$D$15</x:f>
        <x:v>0.0017250000000000002</x:v>
      </x:c>
    </x:row>
    <x:row r="20">
      <x:c r="B20" s="128" t="s">
        <x:v>29</x:v>
      </x:c>
      <x:c r="C20" s="129">
        <x:v>94</x:v>
      </x:c>
      <x:c r="D20" s="130" t="n">
        <x:f>C20*$I$15</x:f>
        <x:v>675.625</x:v>
      </x:c>
      <x:c r="E20" s="131" t="n">
        <x:f>D20*$D$15</x:f>
        <x:v>0.006756250000000001</x:v>
      </x:c>
      <x:c r="F20" s="132">
        <x:v>116</x:v>
      </x:c>
      <x:c r="G20" s="133" t="n">
        <x:f>F20*$I$15</x:f>
        <x:v>833.75</x:v>
      </x:c>
      <x:c r="H20" s="131" t="n">
        <x:f>G20*$D$15</x:f>
        <x:v>0.008337500000000001</x:v>
      </x:c>
    </x:row>
    <x:row r="21">
      <x:c r="B21" s="128" t="s">
        <x:v>30</x:v>
      </x:c>
      <x:c r="C21" s="129">
        <x:v>108</x:v>
      </x:c>
      <x:c r="D21" s="130" t="n">
        <x:f>C21*$I$15</x:f>
        <x:v>776.25</x:v>
      </x:c>
      <x:c r="E21" s="131" t="n">
        <x:f>D21*$D$15</x:f>
        <x:v>0.0077625</x:v>
      </x:c>
      <x:c r="F21" s="132">
        <x:v>134</x:v>
      </x:c>
      <x:c r="G21" s="133" t="n">
        <x:f>F21*$I$15</x:f>
        <x:v>963.125</x:v>
      </x:c>
      <x:c r="H21" s="131" t="n">
        <x:f>G21*$D$15</x:f>
        <x:v>0.009631250000000001</x:v>
      </x:c>
    </x:row>
    <x:row r="22" ht="25.5">
      <x:c r="B22" s="128" t="s">
        <x:v>31</x:v>
      </x:c>
      <x:c r="C22" s="129">
        <x:v>122</x:v>
      </x:c>
      <x:c r="D22" s="130" t="n">
        <x:f>C22*$I$15</x:f>
        <x:v>876.875</x:v>
      </x:c>
      <x:c r="E22" s="131" t="n">
        <x:f>D22*$D$15</x:f>
        <x:v>0.00876875</x:v>
      </x:c>
      <x:c r="F22" s="132">
        <x:v>153</x:v>
      </x:c>
      <x:c r="G22" s="133" t="n">
        <x:f>F22*$I$15</x:f>
        <x:v>1099.6875</x:v>
      </x:c>
      <x:c r="H22" s="131" t="n">
        <x:f>G22*$D$15</x:f>
        <x:v>0.010996875000000001</x:v>
      </x:c>
    </x:row>
    <x:row r="24" s="107" customFormat="1">
      <x:c r="A24" s="105" t="s">
        <x:v>1</x:v>
      </x:c>
      <x:c r="B24" s="106" t="s">
        <x:v>32</x:v>
      </x:c>
    </x:row>
    <x:row r="26">
      <x:c r="B26" s="128" t="s">
        <x:v>33</x:v>
      </x:c>
      <x:c r="C26" s="129">
        <x:v>153479</x:v>
      </x:c>
      <x:c r="D26" s="129">
        <x:v>153529</x:v>
      </x:c>
      <x:c r="E26" s="104" t="n">
        <x:f>D26-C26</x:f>
        <x:v>50</x:v>
      </x:c>
    </x:row>
    <x:row r="27">
      <x:c r="B27" s="128" t="s">
        <x:v>34</x:v>
      </x:c>
      <x:c r="C27" s="129">
        <x:v>154313</x:v>
      </x:c>
      <x:c r="D27" s="129">
        <x:v>154357</x:v>
      </x:c>
      <x:c r="E27" s="104" t="n">
        <x:f>D27-C27</x:f>
        <x:v>44</x:v>
      </x:c>
    </x:row>
    <x:row r="28">
      <x:c r="B28" s="128" t="s">
        <x:v>35</x:v>
      </x:c>
    </x:row>
    <x:row r="29" ht="25.5">
      <x:c r="B29" s="128" t="s">
        <x:v>36</x:v>
      </x:c>
    </x:row>
    <x:row r="30">
      <x:c r="B30" s="128" t="s">
        <x:v>37</x:v>
      </x:c>
      <x:c r="C30" s="134"/>
      <x:c r="D30" s="134"/>
      <x:c r="E30" s="134"/>
      <x:c r="F30" s="134"/>
    </x:row>
    <x:row r="31">
      <x:c r="B31" s="128" t="s">
        <x:v>38</x:v>
      </x:c>
      <x:c r="I31" s="134"/>
    </x:row>
    <x:row r="32">
      <x:c r="I32" s="134"/>
    </x:row>
    <x:row r="33">
      <x:c r="I33" s="134"/>
    </x:row>
    <x:row r="34">
      <x:c r="I34" s="134"/>
    </x:row>
    <x:row r="35">
      <x:c r="I35" s="134"/>
    </x:row>
    <x:row r="42">
      <x:c r="F42" s="134"/>
      <x:c r="G42" s="134"/>
      <x:c r="H42" s="134"/>
      <x:c r="I42" s="134"/>
    </x:row>
    <x:row r="43">
      <x:c r="F43" s="134"/>
      <x:c r="G43" s="134"/>
      <x:c r="H43" s="134"/>
      <x:c r="I43" s="134"/>
    </x:row>
    <x:row r="44">
      <x:c r="F44" s="134"/>
      <x:c r="G44" s="134"/>
      <x:c r="H44" s="134"/>
      <x:c r="I44" s="134"/>
    </x:row>
    <x:row r="45">
      <x:c r="F45" s="134"/>
      <x:c r="G45" s="134"/>
      <x:c r="H45" s="134"/>
      <x:c r="I45" s="134"/>
    </x:row>
    <x:row r="46">
      <x:c r="F46" s="134"/>
      <x:c r="G46" s="134"/>
      <x:c r="H46" s="134"/>
      <x:c r="I46" s="134"/>
    </x:row>
    <x:row r="47">
      <x:c r="F47" s="134"/>
      <x:c r="G47" s="134"/>
      <x:c r="H47" s="134"/>
      <x:c r="I47" s="134"/>
    </x:row>
    <x:row r="48">
      <x:c r="F48" s="134"/>
      <x:c r="G48" s="134"/>
      <x:c r="H48" s="134"/>
      <x:c r="I48" s="134"/>
    </x:row>
  </x:sheetData>
  <x:mergeCells>
    <x:mergeCell ref="C17:E17"/>
    <x:mergeCell ref="F17:H17"/>
    <x:mergeCell ref="E5:F5"/>
    <x:mergeCell ref="E6:F6"/>
    <x:mergeCell ref="E7:F7"/>
    <x:mergeCell ref="E8:F8"/>
    <x:mergeCell ref="E9:F9"/>
    <x:mergeCell ref="E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26" customWidth="1"/>
    <x:col min="2" max="2" width="28" customWidth="1"/>
    <x:col min="3" max="3" width="4" customWidth="1"/>
    <x:col min="4" max="4" width="7" customWidth="1"/>
    <x:col min="5" max="5" width="14" customWidth="1"/>
    <x:col min="6" max="6" width="42" customWidth="1"/>
    <x:col min="7" max="7" width="19" customWidth="1"/>
    <x:col min="8" max="8" width="16" customWidth="1"/>
    <x:col min="9" max="9" width="23" customWidth="1"/>
    <x:col min="10" max="10" width="4" customWidth="1"/>
  </x:cols>
  <x:sheetData>
    <x:row r="1" s="3" customFormat="1" ht="27" customHeight="1">
      <x:c r="A1" s="6" t="s">
        <x:v>39</x:v>
      </x:c>
      <x:c r="B1" s="7"/>
      <x:c r="C1" s="7"/>
      <x:c r="D1" s="7"/>
      <x:c r="E1" s="7"/>
      <x:c r="F1" s="7"/>
      <x:c r="G1" s="7"/>
      <x:c r="H1" s="7"/>
      <x:c r="I1" s="8"/>
      <x:c r="J1" s="2"/>
    </x:row>
    <x:row r="3" ht="15">
      <x:c r="A3" s="43" t="s">
        <x:v>40</x:v>
      </x:c>
      <x:c r="B3" s="1" t="str">
        <x:v>Aprendizaje de mandarín desde cero hasta perfeccionamiento, con práctica contextual, feedback útil y progreso observable.</x:v>
      </x:c>
    </x:row>
    <x:row r="5" ht="15">
      <x:c r="A5" s="26" t="s">
        <x:v>41</x:v>
      </x:c>
      <x:c r="B5" s="27" t="s">
        <x:v>42</x:v>
      </x:c>
      <x:c r="D5" s="43" t="s">
        <x:v>43</x:v>
      </x:c>
      <x:c r="E5" s="43"/>
      <x:c r="F5" s="43"/>
      <x:c r="G5" s="43"/>
      <x:c r="H5" s="43"/>
      <x:c r="I5" s="43"/>
    </x:row>
    <x:row r="6" ht="15">
      <x:c r="A6" s="31" t="s">
        <x:v>44</x:v>
      </x:c>
      <x:c r="B6" s="60" t="n">
        <x:f>IF(COUNTIF('Backlog MVP'!$D$5:$D$39,"Sí")=0,0,COUNTIFS('Backlog MVP'!$D$5:$D$39,"Sí",'Backlog MVP'!$F$5:$F$39,"Hecho")/COUNTIF('Backlog MVP'!$D$5:$D$39,"Sí"))</x:f>
        <x:v>0.08</x:v>
      </x:c>
      <x:c r="D6" s="28" t="s">
        <x:v>45</x:v>
      </x:c>
      <x:c r="E6" s="29" t="s">
        <x:v>46</x:v>
      </x:c>
      <x:c r="F6" s="29" t="s">
        <x:v>47</x:v>
      </x:c>
      <x:c r="G6" s="29" t="s">
        <x:v>48</x:v>
      </x:c>
      <x:c r="H6" s="29" t="s">
        <x:v>49</x:v>
      </x:c>
      <x:c r="I6" s="30" t="s">
        <x:v>50</x:v>
      </x:c>
    </x:row>
    <x:row r="7" ht="38.099998474121094" customHeight="1">
      <x:c r="A7" s="33" t="s">
        <x:v>51</x:v>
      </x:c>
      <x:c r="B7" s="61" t="n">
        <x:f>'Costos por usuario'!D17</x:f>
        <x:v>2.88</x:v>
      </x:c>
      <x:c r="D7" s="45" t="n">
        <x:v>1</x:v>
      </x:c>
      <x:c r="E7" s="167" t="str">
        <x:v>Backlog</x:v>
      </x:c>
      <x:c r="F7" s="45" t="str">
        <x:v>Revisión humana del mandarín piloto</x:v>
      </x:c>
      <x:c r="G7" s="45" t="str">
        <x:v>Arean</x:v>
      </x:c>
      <x:c r="H7" s="45" t="str">
        <x:v>No iniciado</x:v>
      </x:c>
      <x:c r="I7" s="45" t="str">
        <x:v>Backlog MVP</x:v>
      </x:c>
    </x:row>
    <x:row r="8" ht="38.099998474121094" customHeight="1">
      <x:c r="A8" s="35" t="s">
        <x:v>52</x:v>
      </x:c>
      <x:c r="B8" s="62" t="str">
        <x:f ca="1">'Roadmap semanal'!B4&amp;" / "&amp;(17-'Roadmap semanal'!B4)</x:f>
        <x:v>2 / 15</x:v>
      </x:c>
      <x:c r="D8" s="35" t="n">
        <x:v>2</x:v>
      </x:c>
      <x:c r="E8" s="168" t="str">
        <x:v>Backlog</x:v>
      </x:c>
      <x:c r="F8" s="35" t="str">
        <x:v>Errores, backups, límites y costo por función</x:v>
      </x:c>
      <x:c r="G8" s="35" t="str">
        <x:v>Jazmín</x:v>
      </x:c>
      <x:c r="H8" s="35" t="str">
        <x:v>En progreso</x:v>
      </x:c>
      <x:c r="I8" s="35" t="str">
        <x:v>Backlog MVP</x:v>
      </x:c>
    </x:row>
    <x:row r="9" ht="38.099998474121094" customHeight="1">
      <x:c r="A9" s="33" t="s">
        <x:v>53</x:v>
      </x:c>
      <x:c r="B9" s="63" t="str">
        <x:f>IFERROR(INDEX(Equipo!$E$5:$E$7,MATCH("Jazmín",Equipo!$A$5:$A$7,0)),"")</x:f>
        <x:v>En prueba</x:v>
      </x:c>
      <x:c r="D9" t="n">
        <x:v>3</x:v>
      </x:c>
      <x:c r="E9" s="169" t="str">
        <x:v>Backlog</x:v>
      </x:c>
      <x:c r="F9" t="str">
        <x:v>Beta cerrada de 10–20 estudiantes</x:v>
      </x:c>
      <x:c r="G9" t="str">
        <x:v>Arean</x:v>
      </x:c>
      <x:c r="H9" t="str">
        <x:v>No iniciado</x:v>
      </x:c>
      <x:c r="I9" t="str">
        <x:v>Backlog MVP</x:v>
      </x:c>
    </x:row>
    <x:row r="10" ht="15">
      <x:c r="A10" s="48" t="s">
        <x:v>54</x:v>
      </x:c>
      <x:c r="B10" s="64" t="str">
        <x:f>IFERROR(INDEX(Equipo!$E$5:$E$7,MATCH("Krishna",Equipo!$A$5:$A$7,0)),"")</x:f>
        <x:v>Por conversar</x:v>
      </x:c>
    </x:row>
    <x:row r="11" ht="15">
      <x:c r="A11" s="58" t="s">
        <x:v>55</x:v>
      </x:c>
      <x:c r="B11" s="65" t="str">
        <x:v>Pre-MVP funcional en preparación de validación</x:v>
      </x:c>
    </x:row>
    <x:row r="12" ht="15">
      <x:c r="A12" s="26" t="s">
        <x:v>56</x:v>
      </x:c>
      <x:c r="B12" s="27"/>
    </x:row>
    <x:row r="13" ht="38.099998474121094" customHeight="1">
      <x:c r="A13" s="45" t="s">
        <x:v>57</x:v>
      </x:c>
      <x:c r="B13" s="45" t="str">
        <x:v>Demostrar que un principiante absoluto entiende el inicio y completa un tramo pequeño.</x:v>
      </x:c>
    </x:row>
    <x:row r="14" ht="38.099998474121094" customHeight="1">
      <x:c r="A14" s="35" t="s">
        <x:v>58</x:v>
      </x:c>
      <x:c r="B14" s="35" t="str">
        <x:v>Demostrar que el estudiante regresa porque aprende y encuentra un siguiente paso claro.</x:v>
      </x:c>
    </x:row>
    <x:row r="15" ht="51" customHeight="1">
      <x:c r="A15" s="37" t="s">
        <x:v>59</x:v>
      </x:c>
      <x:c r="B15" s="37" t="str">
        <x:v>Medir tokens, voz y costo real por función antes de ampliar el uso.</x:v>
      </x:c>
    </x:row>
    <x:row r="17" ht="33.95000076293945" customHeight="1">
      <x:c r="A17" s="43" t="s">
        <x:v>60</x:v>
      </x:c>
      <x:c r="B17" s="66" t="s">
        <x:v>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99"/>
  </x:sheetPr>
  <x:sheetViews>
    <x:sheetView showGridLines="0" workbookViewId="0"/>
  </x:sheetViews>
  <x:sheetFormatPr baseColWidth="10" defaultColWidth="9" defaultRowHeight="14.25"/>
  <x:cols>
    <x:col min="1" max="1" width="15" customWidth="1"/>
    <x:col min="2" max="2" width="27" customWidth="1"/>
    <x:col min="3" max="3" width="21" customWidth="1"/>
    <x:col min="4" max="4" width="17" customWidth="1"/>
    <x:col min="5" max="5" width="42" customWidth="1"/>
    <x:col min="6" max="7" width="18" customWidth="1"/>
  </x:cols>
  <x:sheetData>
    <x:row r="1" s="3" customFormat="1" ht="27" customHeight="1">
      <x:c r="A1" s="144" t="s">
        <x:v>62</x:v>
      </x:c>
      <x:c r="B1" s="145"/>
      <x:c r="C1" s="145"/>
      <x:c r="D1" s="145"/>
      <x:c r="E1" s="145"/>
      <x:c r="F1" s="145"/>
      <x:c r="G1" s="146"/>
    </x:row>
    <x:row r="3" ht="24" customHeight="1">
      <x:c r="A3" s="149" t="s">
        <x:v>63</x:v>
      </x:c>
      <x:c r="B3" s="150"/>
      <x:c r="C3" s="150"/>
      <x:c r="D3" s="150"/>
      <x:c r="E3" s="150"/>
      <x:c r="F3" s="151"/>
    </x:row>
    <x:row r="4" ht="24" customHeight="1">
      <x:c r="A4" s="9" t="s">
        <x:v>64</x:v>
      </x:c>
      <x:c r="B4" s="10" t="s">
        <x:v>65</x:v>
      </x:c>
      <x:c r="C4" s="10" t="s">
        <x:v>66</x:v>
      </x:c>
      <x:c r="D4" s="11" t="s">
        <x:v>67</x:v>
      </x:c>
      <x:c r="E4" s="10" t="s">
        <x:v>68</x:v>
      </x:c>
      <x:c r="F4" s="12" t="s">
        <x:v>69</x:v>
      </x:c>
    </x:row>
    <x:row r="5" ht="48" customHeight="1">
      <x:c r="A5" s="13" t="s">
        <x:v>70</x:v>
      </x:c>
      <x:c r="B5" s="13" t="s">
        <x:v>71</x:v>
      </x:c>
      <x:c r="C5" s="13" t="s">
        <x:v>72</x:v>
      </x:c>
      <x:c r="D5" s="14">
        <x:v>46235</x:v>
      </x:c>
      <x:c r="E5" s="13" t="s">
        <x:v>73</x:v>
      </x:c>
      <x:c r="F5" s="14"/>
    </x:row>
    <x:row r="6" ht="48" customHeight="1">
      <x:c r="A6" s="15" t="s">
        <x:v>74</x:v>
      </x:c>
      <x:c r="B6" s="15" t="s">
        <x:v>75</x:v>
      </x:c>
      <x:c r="C6" s="15" t="s">
        <x:v>76</x:v>
      </x:c>
      <x:c r="D6" s="16">
        <x:v>46256</x:v>
      </x:c>
      <x:c r="E6" s="15" t="s">
        <x:v>77</x:v>
      </x:c>
      <x:c r="F6" s="16">
        <x:v>46263.5</x:v>
      </x:c>
    </x:row>
    <x:row r="7" ht="48" customHeight="1">
      <x:c r="A7" s="17" t="s">
        <x:v>78</x:v>
      </x:c>
      <x:c r="B7" s="17" t="s">
        <x:v>79</x:v>
      </x:c>
      <x:c r="C7" s="17" t="s">
        <x:v>80</x:v>
      </x:c>
      <x:c r="D7" s="18"/>
      <x:c r="E7" s="17" t="s">
        <x:v>81</x:v>
      </x:c>
      <x:c r="F7" s="18"/>
    </x:row>
    <x:row r="9" s="4" customFormat="1" ht="42" customHeight="1">
      <x:c r="A9" s="147" t="s">
        <x:v>82</x:v>
      </x:c>
      <x:c r="B9" s="148"/>
      <x:c r="C9" s="148"/>
      <x:c r="D9" s="148"/>
      <x:c r="E9" s="148"/>
      <x:c r="F9" s="148"/>
      <x:c r="G9" s="148"/>
    </x:row>
  </x:sheetData>
  <x:mergeCells>
    <x:mergeCell ref="A1:G1"/>
    <x:mergeCell ref="A9:G9"/>
    <x:mergeCell ref="A3:F3"/>
  </x:mergeCells>
  <x:dataValidations count="1">
    <x:dataValidation type="list" sqref="E5:E7">
      <x:formula1>"Founder,Por conversar,En prueba,Cofounder,Advisor,Colaborador,Pausa"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F4CC"/>
  </x:sheetPr>
  <x:sheetViews>
    <x:sheetView showGridLines="0" workbookViewId="0"/>
  </x:sheetViews>
  <x:sheetFormatPr baseColWidth="10" defaultColWidth="9" defaultRowHeight="14.25"/>
  <x:cols>
    <x:col min="1" max="1" width="25" customWidth="1"/>
    <x:col min="2" max="2" width="18" customWidth="1"/>
    <x:col min="3" max="3" width="15" customWidth="1"/>
    <x:col min="4" max="4" width="14" customWidth="1"/>
    <x:col min="5" max="5" width="38" customWidth="1"/>
    <x:col min="6" max="6" width="32" customWidth="1"/>
    <x:col min="7" max="7" width="35" customWidth="1"/>
    <x:col min="10" max="17" width="19.375" customWidth="1"/>
  </x:cols>
  <x:sheetData>
    <x:row r="1" s="3" customFormat="1" ht="27" customHeight="1">
      <x:c r="A1" s="144" t="s">
        <x:v>83</x:v>
      </x:c>
      <x:c r="B1" s="145"/>
      <x:c r="C1" s="145"/>
      <x:c r="D1" s="145"/>
      <x:c r="E1" s="145"/>
      <x:c r="F1" s="145"/>
      <x:c r="G1" s="146"/>
    </x:row>
    <x:row r="3" s="5" customFormat="1" ht="21" customHeight="1">
      <x:c r="A3" s="154" t="s">
        <x:v>84</x:v>
      </x:c>
      <x:c r="B3" s="154"/>
      <x:c r="C3" s="154"/>
      <x:c r="D3" s="154"/>
      <x:c r="E3" s="154"/>
      <x:c r="F3" s="154"/>
      <x:c r="G3" s="154"/>
    </x:row>
    <x:row r="4" ht="30">
      <x:c r="A4" s="19" t="s">
        <x:v>85</x:v>
      </x:c>
      <x:c r="B4" s="20" t="s">
        <x:v>86</x:v>
      </x:c>
      <x:c r="C4" s="20" t="s">
        <x:v>87</x:v>
      </x:c>
      <x:c r="D4" s="20" t="s">
        <x:v>88</x:v>
      </x:c>
      <x:c r="E4" s="20" t="s">
        <x:v>89</x:v>
      </x:c>
      <x:c r="F4" s="20" t="s">
        <x:v>90</x:v>
      </x:c>
      <x:c r="G4" s="21" t="s">
        <x:v>91</x:v>
      </x:c>
    </x:row>
    <x:row r="5" ht="105.75" customHeight="1">
      <x:c r="A5" s="22" t="s">
        <x:v>74</x:v>
      </x:c>
      <x:c r="B5" s="22" t="e">
        <x:f>IF('Roadmap semanal'!#REF!="","",'Roadmap semanal'!#REF!)</x:f>
        <x:v>#REF!</x:v>
      </x:c>
      <x:c r="C5" s="23" t="e">
        <x:f>IF('Roadmap semanal'!#REF!="","",'Roadmap semanal'!#REF!)</x:f>
        <x:v>#REF!</x:v>
      </x:c>
      <x:c r="D5" s="22" t="e">
        <x:f>IF('Roadmap semanal'!#REF!="","",'Roadmap semanal'!#REF!)</x:f>
        <x:v>#REF!</x:v>
      </x:c>
      <x:c r="E5" s="23" t="e">
        <x:f>IF('Roadmap semanal'!#REF!="","",'Roadmap semanal'!#REF!)</x:f>
        <x:v>#REF!</x:v>
      </x:c>
      <x:c r="F5" s="22" t="e">
        <x:f>IF('Roadmap semanal'!#REF!="","",'Roadmap semanal'!#REF!)</x:f>
        <x:v>#REF!</x:v>
      </x:c>
      <x:c r="G5" s="23" t="e">
        <x:f>IF('Roadmap semanal'!#REF!="","",'Roadmap semanal'!#REF!)</x:f>
        <x:v>#REF!</x:v>
      </x:c>
    </x:row>
    <x:row r="6" ht="79.5" customHeight="1">
      <x:c r="A6" s="24" t="s">
        <x:v>78</x:v>
      </x:c>
      <x:c r="B6" s="24" t="e">
        <x:f>IF('Roadmap semanal'!#REF!="","",'Roadmap semanal'!#REF!)</x:f>
        <x:v>#REF!</x:v>
      </x:c>
      <x:c r="C6" s="25" t="e">
        <x:f>IF('Roadmap semanal'!#REF!="","",'Roadmap semanal'!#REF!)</x:f>
        <x:v>#REF!</x:v>
      </x:c>
      <x:c r="D6" s="24" t="e">
        <x:f>IF('Roadmap semanal'!#REF!="","",'Roadmap semanal'!#REF!)</x:f>
        <x:v>#REF!</x:v>
      </x:c>
      <x:c r="E6" s="25" t="e">
        <x:f>IF('Roadmap semanal'!#REF!="","",'Roadmap semanal'!#REF!)</x:f>
        <x:v>#REF!</x:v>
      </x:c>
      <x:c r="F6" s="24" t="e">
        <x:f>IF('Roadmap semanal'!#REF!="","",'Roadmap semanal'!#REF!)</x:f>
        <x:v>#REF!</x:v>
      </x:c>
      <x:c r="G6" s="25" t="e">
        <x:f>IF('Roadmap semanal'!#REF!="","",'Roadmap semanal'!#REF!)</x:f>
        <x:v>#REF!</x:v>
      </x:c>
    </x:row>
    <x:row r="8" s="3" customFormat="1" ht="21" customHeight="1">
      <x:c r="A8" s="152" t="s">
        <x:v>92</x:v>
      </x:c>
      <x:c r="B8" s="152"/>
      <x:c r="C8" s="152"/>
      <x:c r="D8" s="152"/>
      <x:c r="E8" s="152"/>
      <x:c r="F8" s="152"/>
      <x:c r="G8" s="152"/>
    </x:row>
    <x:row r="9" s="5" customFormat="1" ht="30">
      <x:c r="A9" s="28" t="s">
        <x:v>93</x:v>
      </x:c>
      <x:c r="B9" s="29" t="s">
        <x:v>94</x:v>
      </x:c>
      <x:c r="C9" s="29" t="s">
        <x:v>95</x:v>
      </x:c>
      <x:c r="D9" s="29" t="s">
        <x:v>96</x:v>
      </x:c>
      <x:c r="E9" s="29" t="s">
        <x:v>97</x:v>
      </x:c>
      <x:c r="F9" s="29" t="s">
        <x:v>98</x:v>
      </x:c>
      <x:c r="J9" s="30" t="s">
        <x:v>99</x:v>
      </x:c>
      <x:c r="K9" s="30" t="s">
        <x:v>100</x:v>
      </x:c>
      <x:c r="L9" s="30" t="s">
        <x:v>101</x:v>
      </x:c>
      <x:c r="M9" s="30" t="s">
        <x:v>102</x:v>
      </x:c>
      <x:c r="N9" s="30" t="s">
        <x:v>103</x:v>
      </x:c>
      <x:c r="O9" s="30" t="s">
        <x:v>104</x:v>
      </x:c>
      <x:c r="P9" s="30" t="s">
        <x:v>105</x:v>
      </x:c>
      <x:c r="Q9" s="30" t="s">
        <x:v>106</x:v>
      </x:c>
    </x:row>
    <x:row r="10" ht="42" customHeight="1">
      <x:c r="A10" s="31" t="s">
        <x:v>107</x:v>
      </x:c>
      <x:c r="B10" s="32">
        <x:v>0.15</x:v>
      </x:c>
      <x:c r="C10" s="39">
        <x:v>4</x:v>
      </x:c>
      <x:c r="D10" s="31" t="n">
        <x:f t="shared" ref="D10:D17" si="0">IF(C10="","",B10*C10)</x:f>
        <x:v>0.6</x:v>
      </x:c>
      <x:c r="E10" s="31" t="s">
        <x:v>108</x:v>
      </x:c>
      <x:c r="F10" s="31" t="s">
        <x:v>109</x:v>
      </x:c>
      <x:c r="J10" s="39">
        <x:v>6</x:v>
      </x:c>
      <x:c r="K10" s="39">
        <x:v>4</x:v>
      </x:c>
      <x:c r="L10" s="39"/>
      <x:c r="M10" s="39"/>
      <x:c r="N10" s="39"/>
      <x:c r="O10" s="39"/>
      <x:c r="P10" s="39"/>
      <x:c r="Q10" s="39"/>
    </x:row>
    <x:row r="11" ht="42" customHeight="1">
      <x:c r="A11" s="33" t="s">
        <x:v>110</x:v>
      </x:c>
      <x:c r="B11" s="34">
        <x:v>0.15</x:v>
      </x:c>
      <x:c r="C11" s="40">
        <x:v>8</x:v>
      </x:c>
      <x:c r="D11" s="33">
        <x:f t="shared" si="0"/>
        <x:v>1.2</x:v>
      </x:c>
      <x:c r="E11" s="33" t="s">
        <x:v>111</x:v>
      </x:c>
      <x:c r="F11" s="33" t="s">
        <x:v>112</x:v>
      </x:c>
      <x:c r="J11" s="40">
        <x:v>8</x:v>
      </x:c>
      <x:c r="K11" s="40">
        <x:v>8</x:v>
      </x:c>
      <x:c r="L11" s="40"/>
      <x:c r="M11" s="40"/>
      <x:c r="N11" s="40"/>
      <x:c r="O11" s="40"/>
      <x:c r="P11" s="40"/>
      <x:c r="Q11" s="40"/>
    </x:row>
    <x:row r="12" ht="42" customHeight="1">
      <x:c r="A12" s="35" t="s">
        <x:v>113</x:v>
      </x:c>
      <x:c r="B12" s="36">
        <x:v>0.15</x:v>
      </x:c>
      <x:c r="C12" s="40">
        <x:v>4</x:v>
      </x:c>
      <x:c r="D12" s="35">
        <x:f t="shared" si="0"/>
        <x:v>0.6</x:v>
      </x:c>
      <x:c r="E12" s="35" t="s">
        <x:v>114</x:v>
      </x:c>
      <x:c r="F12" s="35" t="s">
        <x:v>115</x:v>
      </x:c>
      <x:c r="J12" s="40">
        <x:v>6</x:v>
      </x:c>
      <x:c r="K12" s="40">
        <x:v>4</x:v>
      </x:c>
      <x:c r="L12" s="40"/>
      <x:c r="M12" s="40"/>
      <x:c r="N12" s="40"/>
      <x:c r="O12" s="40"/>
      <x:c r="P12" s="40"/>
      <x:c r="Q12" s="40"/>
    </x:row>
    <x:row r="13" ht="42" customHeight="1">
      <x:c r="A13" s="33" t="s">
        <x:v>116</x:v>
      </x:c>
      <x:c r="B13" s="34">
        <x:v>0.15</x:v>
      </x:c>
      <x:c r="C13" s="40">
        <x:v>4</x:v>
      </x:c>
      <x:c r="D13" s="33">
        <x:f t="shared" si="0"/>
        <x:v>0.6</x:v>
      </x:c>
      <x:c r="E13" s="33" t="s">
        <x:v>117</x:v>
      </x:c>
      <x:c r="F13" s="33" t="s">
        <x:v>118</x:v>
      </x:c>
      <x:c r="J13" s="40">
        <x:v>6</x:v>
      </x:c>
      <x:c r="K13" s="40">
        <x:v>4</x:v>
      </x:c>
      <x:c r="L13" s="40"/>
      <x:c r="M13" s="40"/>
      <x:c r="N13" s="40"/>
      <x:c r="O13" s="40"/>
      <x:c r="P13" s="40"/>
      <x:c r="Q13" s="40"/>
    </x:row>
    <x:row r="14" ht="42" customHeight="1">
      <x:c r="A14" s="35" t="s">
        <x:v>119</x:v>
      </x:c>
      <x:c r="B14" s="36">
        <x:v>0.15</x:v>
      </x:c>
      <x:c r="C14" s="40">
        <x:v>5</x:v>
      </x:c>
      <x:c r="D14" s="35">
        <x:f t="shared" si="0"/>
        <x:v>0.75</x:v>
      </x:c>
      <x:c r="E14" s="35" t="s">
        <x:v>120</x:v>
      </x:c>
      <x:c r="F14" s="35" t="s">
        <x:v>121</x:v>
      </x:c>
      <x:c r="J14" s="40">
        <x:v>6</x:v>
      </x:c>
      <x:c r="K14" s="40">
        <x:v>5</x:v>
      </x:c>
      <x:c r="L14" s="40"/>
      <x:c r="M14" s="40"/>
      <x:c r="N14" s="40"/>
      <x:c r="O14" s="40"/>
      <x:c r="P14" s="40"/>
      <x:c r="Q14" s="40"/>
    </x:row>
    <x:row r="15" ht="42" customHeight="1">
      <x:c r="A15" s="33" t="s">
        <x:v>122</x:v>
      </x:c>
      <x:c r="B15" s="34">
        <x:v>0.1</x:v>
      </x:c>
      <x:c r="C15" s="40">
        <x:v>6</x:v>
      </x:c>
      <x:c r="D15" s="33">
        <x:f t="shared" si="0"/>
        <x:v>0.60000000000000009</x:v>
      </x:c>
      <x:c r="E15" s="33" t="s">
        <x:v>123</x:v>
      </x:c>
      <x:c r="F15" s="33" t="s">
        <x:v>124</x:v>
      </x:c>
      <x:c r="J15" s="40">
        <x:v>6</x:v>
      </x:c>
      <x:c r="K15" s="40">
        <x:v>6</x:v>
      </x:c>
      <x:c r="L15" s="40"/>
      <x:c r="M15" s="40"/>
      <x:c r="N15" s="40"/>
      <x:c r="O15" s="40"/>
      <x:c r="P15" s="40"/>
      <x:c r="Q15" s="40"/>
    </x:row>
    <x:row r="16" ht="42" customHeight="1">
      <x:c r="A16" s="35" t="s">
        <x:v>125</x:v>
      </x:c>
      <x:c r="B16" s="36">
        <x:v>0.1</x:v>
      </x:c>
      <x:c r="C16" s="40">
        <x:v>6</x:v>
      </x:c>
      <x:c r="D16" s="35">
        <x:f t="shared" si="0"/>
        <x:v>0.60000000000000009</x:v>
      </x:c>
      <x:c r="E16" s="35" t="s">
        <x:v>126</x:v>
      </x:c>
      <x:c r="F16" s="35" t="s">
        <x:v>127</x:v>
      </x:c>
      <x:c r="J16" s="40">
        <x:v>6</x:v>
      </x:c>
      <x:c r="K16" s="40">
        <x:v>6</x:v>
      </x:c>
      <x:c r="L16" s="40"/>
      <x:c r="M16" s="40"/>
      <x:c r="N16" s="40"/>
      <x:c r="O16" s="40"/>
      <x:c r="P16" s="40"/>
      <x:c r="Q16" s="40"/>
    </x:row>
    <x:row r="17" ht="42" customHeight="1">
      <x:c r="A17" s="37" t="s">
        <x:v>128</x:v>
      </x:c>
      <x:c r="B17" s="38">
        <x:v>0.05</x:v>
      </x:c>
      <x:c r="C17" s="41">
        <x:v>6</x:v>
      </x:c>
      <x:c r="D17" s="37">
        <x:f t="shared" si="0"/>
        <x:v>0.30000000000000004</x:v>
      </x:c>
      <x:c r="E17" s="37" t="s">
        <x:v>129</x:v>
      </x:c>
      <x:c r="F17" s="37" t="s">
        <x:v>130</x:v>
      </x:c>
      <x:c r="J17" s="41">
        <x:v>6</x:v>
      </x:c>
      <x:c r="K17" s="41">
        <x:v>6</x:v>
      </x:c>
      <x:c r="L17" s="41"/>
      <x:c r="M17" s="41"/>
      <x:c r="N17" s="41"/>
      <x:c r="O17" s="41"/>
      <x:c r="P17" s="41"/>
      <x:c r="Q17" s="41"/>
    </x:row>
    <x:row r="18" ht="15">
      <x:c r="A18" s="153" t="s">
        <x:v>131</x:v>
      </x:c>
      <x:c r="B18" s="153"/>
      <x:c r="C18" s="153"/>
      <x:c r="D18" s="42" t="n">
        <x:f>IF(COUNT(C10:C17)=0,"",SUM(D10:D17))</x:f>
        <x:v>5.249999999999999</x:v>
      </x:c>
      <x:c r="J18" s="42">
        <x:v>6.299999999999998</x:v>
      </x:c>
      <x:c r="K18" s="42">
        <x:v>5.2499999999999991</x:v>
      </x:c>
      <x:c r="L18" s="42"/>
      <x:c r="M18" s="42"/>
      <x:c r="N18" s="42"/>
      <x:c r="O18" s="42"/>
      <x:c r="P18" s="42"/>
      <x:c r="Q18" s="42"/>
    </x:row>
    <x:row r="20" s="3" customFormat="1" ht="21" customHeight="1">
      <x:c r="A20" s="152" t="s">
        <x:v>132</x:v>
      </x:c>
      <x:c r="B20" s="152"/>
      <x:c r="C20" s="152"/>
      <x:c r="D20" s="152"/>
      <x:c r="E20" s="152"/>
      <x:c r="F20" s="152"/>
      <x:c r="G20" s="152"/>
    </x:row>
    <x:row r="21" s="5" customFormat="1" ht="30">
      <x:c r="A21" s="28" t="s">
        <x:v>93</x:v>
      </x:c>
      <x:c r="B21" s="29" t="s">
        <x:v>94</x:v>
      </x:c>
      <x:c r="C21" s="29" t="s">
        <x:v>95</x:v>
      </x:c>
      <x:c r="D21" s="29" t="s">
        <x:v>96</x:v>
      </x:c>
      <x:c r="E21" s="29" t="s">
        <x:v>97</x:v>
      </x:c>
      <x:c r="F21" s="29" t="s">
        <x:v>98</x:v>
      </x:c>
      <x:c r="G21" s="30" t="s">
        <x:v>133</x:v>
      </x:c>
    </x:row>
    <x:row r="22" ht="42" customHeight="1">
      <x:c r="A22" s="31" t="s">
        <x:v>134</x:v>
      </x:c>
      <x:c r="B22" s="32">
        <x:v>0.15</x:v>
      </x:c>
      <x:c r="C22" s="39"/>
      <x:c r="D22" s="31" t="str">
        <x:f t="shared" ref="D22:D29" si="1">IF(C22="","",B22*C22)</x:f>
      </x:c>
      <x:c r="E22" s="31" t="s">
        <x:v>135</x:v>
      </x:c>
      <x:c r="F22" s="31" t="s">
        <x:v>136</x:v>
      </x:c>
      <x:c r="G22" s="31"/>
    </x:row>
    <x:row r="23" ht="42" customHeight="1">
      <x:c r="A23" s="33" t="s">
        <x:v>137</x:v>
      </x:c>
      <x:c r="B23" s="34">
        <x:v>0.15</x:v>
      </x:c>
      <x:c r="C23" s="40"/>
      <x:c r="D23" s="33" t="str">
        <x:f t="shared" si="1"/>
      </x:c>
      <x:c r="E23" s="33" t="s">
        <x:v>138</x:v>
      </x:c>
      <x:c r="F23" s="33" t="s">
        <x:v>139</x:v>
      </x:c>
      <x:c r="G23" s="33"/>
    </x:row>
    <x:row r="24" ht="42" customHeight="1">
      <x:c r="A24" s="35" t="s">
        <x:v>140</x:v>
      </x:c>
      <x:c r="B24" s="36">
        <x:v>0.15</x:v>
      </x:c>
      <x:c r="C24" s="40"/>
      <x:c r="D24" s="35" t="str">
        <x:f t="shared" si="1"/>
      </x:c>
      <x:c r="E24" s="35" t="s">
        <x:v>141</x:v>
      </x:c>
      <x:c r="F24" s="35" t="s">
        <x:v>142</x:v>
      </x:c>
      <x:c r="G24" s="35"/>
    </x:row>
    <x:row r="25" ht="42" customHeight="1">
      <x:c r="A25" s="33" t="s">
        <x:v>143</x:v>
      </x:c>
      <x:c r="B25" s="34">
        <x:v>0.15</x:v>
      </x:c>
      <x:c r="C25" s="40"/>
      <x:c r="D25" s="33" t="str">
        <x:f t="shared" si="1"/>
      </x:c>
      <x:c r="E25" s="33" t="s">
        <x:v>144</x:v>
      </x:c>
      <x:c r="F25" s="33" t="s">
        <x:v>145</x:v>
      </x:c>
      <x:c r="G25" s="33"/>
    </x:row>
    <x:row r="26" ht="42" customHeight="1">
      <x:c r="A26" s="35" t="s">
        <x:v>119</x:v>
      </x:c>
      <x:c r="B26" s="36">
        <x:v>0.15</x:v>
      </x:c>
      <x:c r="C26" s="40"/>
      <x:c r="D26" s="35" t="str">
        <x:f t="shared" si="1"/>
      </x:c>
      <x:c r="E26" s="35" t="s">
        <x:v>146</x:v>
      </x:c>
      <x:c r="F26" s="35" t="s">
        <x:v>147</x:v>
      </x:c>
      <x:c r="G26" s="35"/>
    </x:row>
    <x:row r="27" ht="42" customHeight="1">
      <x:c r="A27" s="33" t="s">
        <x:v>148</x:v>
      </x:c>
      <x:c r="B27" s="34">
        <x:v>0.1</x:v>
      </x:c>
      <x:c r="C27" s="40"/>
      <x:c r="D27" s="33" t="str">
        <x:f t="shared" si="1"/>
      </x:c>
      <x:c r="E27" s="33" t="s">
        <x:v>149</x:v>
      </x:c>
      <x:c r="F27" s="33" t="s">
        <x:v>150</x:v>
      </x:c>
      <x:c r="G27" s="33"/>
    </x:row>
    <x:row r="28" ht="42" customHeight="1">
      <x:c r="A28" s="35" t="s">
        <x:v>125</x:v>
      </x:c>
      <x:c r="B28" s="36">
        <x:v>0.1</x:v>
      </x:c>
      <x:c r="C28" s="40"/>
      <x:c r="D28" s="35" t="str">
        <x:f t="shared" si="1"/>
      </x:c>
      <x:c r="E28" s="35" t="s">
        <x:v>151</x:v>
      </x:c>
      <x:c r="F28" s="35" t="s">
        <x:v>152</x:v>
      </x:c>
      <x:c r="G28" s="35"/>
    </x:row>
    <x:row r="29" ht="42" customHeight="1">
      <x:c r="A29" s="37" t="s">
        <x:v>153</x:v>
      </x:c>
      <x:c r="B29" s="38">
        <x:v>0.05</x:v>
      </x:c>
      <x:c r="C29" s="41"/>
      <x:c r="D29" s="37" t="str">
        <x:f t="shared" si="1"/>
      </x:c>
      <x:c r="E29" s="37" t="s">
        <x:v>154</x:v>
      </x:c>
      <x:c r="F29" s="37" t="s">
        <x:v>155</x:v>
      </x:c>
      <x:c r="G29" s="37"/>
    </x:row>
    <x:row r="30" ht="15">
      <x:c r="A30" s="153" t="s">
        <x:v>156</x:v>
      </x:c>
      <x:c r="B30" s="153"/>
      <x:c r="C30" s="153"/>
      <x:c r="D30" s="42" t="str">
        <x:f>IF(COUNT(C22:C29)=0,"",SUM(D22:D29))</x:f>
      </x:c>
    </x:row>
  </x:sheetData>
  <x:mergeCells>
    <x:mergeCell ref="A20:G20"/>
    <x:mergeCell ref="A30:C30"/>
    <x:mergeCell ref="A1:G1"/>
    <x:mergeCell ref="A3:G3"/>
    <x:mergeCell ref="A8:G8"/>
    <x:mergeCell ref="A18:C18"/>
  </x:mergeCells>
  <x:dataValidations count="1">
    <x:dataValidation type="whole" sqref="C10:C17 C22:C29 J10:J17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0" customWidth="1"/>
    <x:col min="2" max="2" width="31" customWidth="1"/>
    <x:col min="3" max="3" width="19" customWidth="1"/>
    <x:col min="4" max="4" width="13" customWidth="1"/>
    <x:col min="5" max="5" width="12" customWidth="1"/>
    <x:col min="6" max="6" width="16" customWidth="1"/>
    <x:col min="7" max="7" width="20" customWidth="1"/>
    <x:col min="8" max="8" width="14" customWidth="1"/>
    <x:col min="9" max="9" width="28" customWidth="1"/>
    <x:col min="10" max="10" width="34" customWidth="1"/>
  </x:cols>
  <x:sheetData>
    <x:row r="1" s="3" customFormat="1" ht="29.100000381469727" customHeight="1">
      <x:c r="A1" s="144" t="s">
        <x:v>157</x:v>
      </x:c>
      <x:c r="B1" s="145"/>
      <x:c r="C1" s="145"/>
      <x:c r="D1" s="145"/>
      <x:c r="E1" s="145"/>
      <x:c r="F1" s="145"/>
      <x:c r="G1" s="145"/>
      <x:c r="H1" s="145"/>
      <x:c r="I1" s="145"/>
      <x:c r="J1" s="145"/>
    </x:row>
    <x:row r="3" s="5" customFormat="1" ht="21" customHeight="1">
      <x:c r="A3" s="155" t="s">
        <x:v>158</x:v>
      </x:c>
      <x:c r="B3" s="155"/>
      <x:c r="C3" s="155"/>
      <x:c r="D3" s="155"/>
      <x:c r="E3" s="155"/>
      <x:c r="F3" s="155"/>
      <x:c r="G3" s="155"/>
      <x:c r="H3" s="155"/>
      <x:c r="I3" s="155"/>
      <x:c r="J3" s="155"/>
    </x:row>
    <x:row r="4" ht="30">
      <x:c r="A4" s="28" t="s">
        <x:v>159</x:v>
      </x:c>
      <x:c r="B4" s="29" t="s">
        <x:v>160</x:v>
      </x:c>
      <x:c r="C4" s="29" t="s">
        <x:v>161</x:v>
      </x:c>
      <x:c r="D4" s="29" t="s">
        <x:v>162</x:v>
      </x:c>
      <x:c r="E4" s="29" t="s">
        <x:v>163</x:v>
      </x:c>
      <x:c r="F4" s="29" t="s">
        <x:v>49</x:v>
      </x:c>
      <x:c r="G4" s="29" t="s">
        <x:v>48</x:v>
      </x:c>
      <x:c r="H4" s="29" t="s">
        <x:v>164</x:v>
      </x:c>
      <x:c r="I4" s="29" t="s">
        <x:v>165</x:v>
      </x:c>
      <x:c r="J4" s="29" t="s">
        <x:v>166</x:v>
      </x:c>
    </x:row>
    <x:row r="5" ht="42" customHeight="1">
      <x:c r="A5" s="45" t="s">
        <x:v>167</x:v>
      </x:c>
      <x:c r="B5" s="45" t="s">
        <x:v>168</x:v>
      </x:c>
      <x:c r="C5" s="45" t="s">
        <x:v>169</x:v>
      </x:c>
      <x:c r="D5" s="45" t="s">
        <x:v>170</x:v>
      </x:c>
      <x:c r="E5" s="45" t="s">
        <x:v>171</x:v>
      </x:c>
      <x:c r="F5" s="45" t="s">
        <x:v>172</x:v>
      </x:c>
      <x:c r="G5" s="45" t="s">
        <x:v>74</x:v>
      </x:c>
      <x:c r="H5" s="45">
        <x:v>2</x:v>
      </x:c>
      <x:c r="I5" s="45" t="s">
        <x:v>173</x:v>
      </x:c>
      <x:c r="J5" s="45" t="s">
        <x:v>174</x:v>
      </x:c>
    </x:row>
    <x:row r="6" ht="42" customHeight="1">
      <x:c r="A6" s="35" t="s">
        <x:v>175</x:v>
      </x:c>
      <x:c r="B6" s="35" t="s">
        <x:v>176</x:v>
      </x:c>
      <x:c r="C6" s="35" t="s">
        <x:v>169</x:v>
      </x:c>
      <x:c r="D6" s="35" t="s">
        <x:v>170</x:v>
      </x:c>
      <x:c r="E6" s="35" t="s">
        <x:v>171</x:v>
      </x:c>
      <x:c r="F6" s="35" t="s">
        <x:v>172</x:v>
      </x:c>
      <x:c r="G6" s="35" t="s">
        <x:v>74</x:v>
      </x:c>
      <x:c r="H6" s="35">
        <x:v>2</x:v>
      </x:c>
      <x:c r="I6" s="35" t="s">
        <x:v>177</x:v>
      </x:c>
      <x:c r="J6" s="35" t="s">
        <x:v>178</x:v>
      </x:c>
    </x:row>
    <x:row r="7" ht="42" customHeight="1">
      <x:c r="A7" s="33" t="s">
        <x:v>179</x:v>
      </x:c>
      <x:c r="B7" s="33" t="s">
        <x:v>180</x:v>
      </x:c>
      <x:c r="C7" s="33" t="s">
        <x:v>169</x:v>
      </x:c>
      <x:c r="D7" s="33" t="s">
        <x:v>170</x:v>
      </x:c>
      <x:c r="E7" s="33" t="s">
        <x:v>171</x:v>
      </x:c>
      <x:c r="F7" s="33" t="s">
        <x:v>172</x:v>
      </x:c>
      <x:c r="G7" s="33" t="s">
        <x:v>74</x:v>
      </x:c>
      <x:c r="H7" s="33">
        <x:v>4</x:v>
      </x:c>
      <x:c r="I7" s="33" t="s">
        <x:v>181</x:v>
      </x:c>
      <x:c r="J7" s="33" t="s">
        <x:v>182</x:v>
      </x:c>
    </x:row>
    <x:row r="8" ht="42" customHeight="1">
      <x:c r="A8" s="35" t="s">
        <x:v>183</x:v>
      </x:c>
      <x:c r="B8" s="35" t="s">
        <x:v>184</x:v>
      </x:c>
      <x:c r="C8" s="35" t="s">
        <x:v>169</x:v>
      </x:c>
      <x:c r="D8" s="35" t="s">
        <x:v>170</x:v>
      </x:c>
      <x:c r="E8" s="35" t="s">
        <x:v>171</x:v>
      </x:c>
      <x:c r="F8" s="35" t="s">
        <x:v>185</x:v>
      </x:c>
      <x:c r="G8" s="35" t="s">
        <x:v>186</x:v>
      </x:c>
      <x:c r="H8" s="35">
        <x:v>3</x:v>
      </x:c>
      <x:c r="I8" s="35" t="s">
        <x:v>187</x:v>
      </x:c>
      <x:c r="J8" s="35" t="s">
        <x:v>188</x:v>
      </x:c>
    </x:row>
    <x:row r="9" ht="42" customHeight="1">
      <x:c r="A9" s="33" t="s">
        <x:v>189</x:v>
      </x:c>
      <x:c r="B9" s="33" t="s">
        <x:v>190</x:v>
      </x:c>
      <x:c r="C9" s="33" t="s">
        <x:v>169</x:v>
      </x:c>
      <x:c r="D9" s="33" t="s">
        <x:v>170</x:v>
      </x:c>
      <x:c r="E9" s="33" t="s">
        <x:v>171</x:v>
      </x:c>
      <x:c r="F9" s="33" t="s">
        <x:v>185</x:v>
      </x:c>
      <x:c r="G9" s="33" t="s">
        <x:v>74</x:v>
      </x:c>
      <x:c r="H9" s="33">
        <x:v>4</x:v>
      </x:c>
      <x:c r="I9" s="33" t="s">
        <x:v>191</x:v>
      </x:c>
      <x:c r="J9" s="33" t="s">
        <x:v>192</x:v>
      </x:c>
    </x:row>
    <x:row r="10" ht="42" customHeight="1">
      <x:c r="A10" s="35" t="s">
        <x:v>193</x:v>
      </x:c>
      <x:c r="B10" s="35" t="s">
        <x:v>194</x:v>
      </x:c>
      <x:c r="C10" s="35" t="s">
        <x:v>195</x:v>
      </x:c>
      <x:c r="D10" s="35" t="s">
        <x:v>170</x:v>
      </x:c>
      <x:c r="E10" s="35" t="s">
        <x:v>171</x:v>
      </x:c>
      <x:c r="F10" s="35" t="s">
        <x:v>172</x:v>
      </x:c>
      <x:c r="G10" s="35" t="s">
        <x:v>70</x:v>
      </x:c>
      <x:c r="H10" s="35">
        <x:v>1</x:v>
      </x:c>
      <x:c r="I10" s="35" t="s">
        <x:v>196</x:v>
      </x:c>
      <x:c r="J10" s="35" t="s">
        <x:v>197</x:v>
      </x:c>
    </x:row>
    <x:row r="11" ht="42" customHeight="1">
      <x:c r="A11" s="33" t="s">
        <x:v>198</x:v>
      </x:c>
      <x:c r="B11" s="33" t="str">
        <x:v>Onboarding, landing, cuenta y recuperación coherentes</x:v>
      </x:c>
      <x:c r="C11" s="33" t="str">
        <x:v>Onboarding</x:v>
      </x:c>
      <x:c r="D11" s="33" t="str">
        <x:v>Sí</x:v>
      </x:c>
      <x:c r="E11" s="33" t="str">
        <x:v>Must</x:v>
      </x:c>
      <x:c r="F11" s="33" t="str">
        <x:v>En progreso</x:v>
      </x:c>
      <x:c r="G11" s="33" t="str">
        <x:v>Arean + Jazmín</x:v>
      </x:c>
      <x:c r="H11" s="33" t="n">
        <x:v>4</x:v>
      </x:c>
      <x:c r="I11" s="33" t="str">
        <x:v>La promesa desde cero requiere validación externa</x:v>
      </x:c>
      <x:c r="J11" s="33" t="str">
        <x:v>Usuario entiende la propuesta, inicia desde su nivel y recupera acceso</x:v>
      </x:c>
    </x:row>
    <x:row r="12" ht="42" customHeight="1">
      <x:c r="A12" s="35" t="s">
        <x:v>199</x:v>
      </x:c>
      <x:c r="B12" s="35" t="s">
        <x:v>200</x:v>
      </x:c>
      <x:c r="C12" s="35" t="s">
        <x:v>201</x:v>
      </x:c>
      <x:c r="D12" s="35" t="s">
        <x:v>170</x:v>
      </x:c>
      <x:c r="E12" s="35" t="s">
        <x:v>171</x:v>
      </x:c>
      <x:c r="F12" s="35" t="s">
        <x:v>172</x:v>
      </x:c>
      <x:c r="G12" s="35" t="s">
        <x:v>70</x:v>
      </x:c>
      <x:c r="H12" s="35">
        <x:v>4</x:v>
      </x:c>
      <x:c r="I12" s="35" t="s">
        <x:v>202</x:v>
      </x:c>
      <x:c r="J12" s="35" t="s">
        <x:v>203</x:v>
      </x:c>
    </x:row>
    <x:row r="13" ht="42" customHeight="1">
      <x:c r="A13" s="33" t="s">
        <x:v>204</x:v>
      </x:c>
      <x:c r="B13" s="33" t="s">
        <x:v>205</x:v>
      </x:c>
      <x:c r="C13" s="33" t="s">
        <x:v>206</x:v>
      </x:c>
      <x:c r="D13" s="33" t="s">
        <x:v>170</x:v>
      </x:c>
      <x:c r="E13" s="33" t="s">
        <x:v>171</x:v>
      </x:c>
      <x:c r="F13" s="33" t="s">
        <x:v>172</x:v>
      </x:c>
      <x:c r="G13" s="33" t="s">
        <x:v>70</x:v>
      </x:c>
      <x:c r="H13" s="33">
        <x:v>4</x:v>
      </x:c>
      <x:c r="I13" s="33" t="s">
        <x:v>207</x:v>
      </x:c>
      <x:c r="J13" s="33" t="s">
        <x:v>208</x:v>
      </x:c>
    </x:row>
    <x:row r="14" ht="42" customHeight="1">
      <x:c r="A14" s="35" t="s">
        <x:v>209</x:v>
      </x:c>
      <x:c r="B14" s="35" t="str">
        <x:v>Ruta piloto desde cero hasta situaciones reales</x:v>
      </x:c>
      <x:c r="C14" s="35" t="str">
        <x:v>Learning Journey</x:v>
      </x:c>
      <x:c r="D14" s="35" t="str">
        <x:v>Sí</x:v>
      </x:c>
      <x:c r="E14" s="35" t="str">
        <x:v>Must</x:v>
      </x:c>
      <x:c r="F14" s="35" t="str">
        <x:v>En progreso</x:v>
      </x:c>
      <x:c r="G14" s="35" t="str">
        <x:v>Arean</x:v>
      </x:c>
      <x:c r="H14" s="35" t="n">
        <x:v>8</x:v>
      </x:c>
      <x:c r="I14" s="35" t="str">
        <x:v>Falta acotar y revisar el tramo inicial</x:v>
      </x:c>
      <x:c r="J14" s="35" t="str">
        <x:v>6–8 lecciones coherentes con pinyin, objetivos claros y revisión humana</x:v>
      </x:c>
    </x:row>
    <x:row r="15" ht="42" customHeight="1">
      <x:c r="A15" s="33" t="s">
        <x:v>210</x:v>
      </x:c>
      <x:c r="B15" s="33" t="s">
        <x:v>211</x:v>
      </x:c>
      <x:c r="C15" s="33" t="s">
        <x:v>212</x:v>
      </x:c>
      <x:c r="D15" s="33" t="s">
        <x:v>170</x:v>
      </x:c>
      <x:c r="E15" s="33" t="s">
        <x:v>213</x:v>
      </x:c>
      <x:c r="F15" s="33" t="s">
        <x:v>172</x:v>
      </x:c>
      <x:c r="G15" s="33" t="s">
        <x:v>70</x:v>
      </x:c>
      <x:c r="H15" s="33">
        <x:v>3</x:v>
      </x:c>
      <x:c r="I15" s="33" t="s">
        <x:v>214</x:v>
      </x:c>
      <x:c r="J15" s="33" t="s">
        <x:v>215</x:v>
      </x:c>
    </x:row>
    <x:row r="16" ht="42" customHeight="1">
      <x:c r="A16" s="35" t="s">
        <x:v>216</x:v>
      </x:c>
      <x:c r="B16" s="35" t="s">
        <x:v>217</x:v>
      </x:c>
      <x:c r="C16" s="35" t="s">
        <x:v>218</x:v>
      </x:c>
      <x:c r="D16" s="35" t="s">
        <x:v>170</x:v>
      </x:c>
      <x:c r="E16" s="35" t="s">
        <x:v>171</x:v>
      </x:c>
      <x:c r="F16" s="35" t="s">
        <x:v>185</x:v>
      </x:c>
      <x:c r="G16" s="35" t="s">
        <x:v>70</x:v>
      </x:c>
      <x:c r="H16" s="35">
        <x:v>5</x:v>
      </x:c>
      <x:c r="I16" s="35" t="s">
        <x:v>219</x:v>
      </x:c>
      <x:c r="J16" s="35" t="s">
        <x:v>220</x:v>
      </x:c>
    </x:row>
    <x:row r="17" ht="42" customHeight="1">
      <x:c r="A17" s="33" t="s">
        <x:v>221</x:v>
      </x:c>
      <x:c r="B17" s="33" t="str">
        <x:v>Han Tutor con pedagogía progresiva y natural</x:v>
      </x:c>
      <x:c r="C17" s="33" t="str">
        <x:v>AI Teacher</x:v>
      </x:c>
      <x:c r="D17" s="33" t="str">
        <x:v>Sí</x:v>
      </x:c>
      <x:c r="E17" s="33" t="str">
        <x:v>Must</x:v>
      </x:c>
      <x:c r="F17" s="33" t="str">
        <x:v>En progreso</x:v>
      </x:c>
      <x:c r="G17" s="33" t="str">
        <x:v>Arean</x:v>
      </x:c>
      <x:c r="H17" s="33" t="n">
        <x:v>4</x:v>
      </x:c>
      <x:c r="I17" s="33" t="str">
        <x:v>Falta QA con conversaciones reales</x:v>
      </x:c>
      <x:c r="J17" s="33" t="str">
        <x:v>Elige la profundidad adecuada; ejemplos escritos conservan caracteres, pinyin y traducción</x:v>
      </x:c>
    </x:row>
    <x:row r="18" ht="42" customHeight="1">
      <x:c r="A18" s="35" t="s">
        <x:v>222</x:v>
      </x:c>
      <x:c r="B18" s="35" t="s">
        <x:v>223</x:v>
      </x:c>
      <x:c r="C18" s="35" t="s">
        <x:v>224</x:v>
      </x:c>
      <x:c r="D18" s="35" t="s">
        <x:v>170</x:v>
      </x:c>
      <x:c r="E18" s="35" t="s">
        <x:v>171</x:v>
      </x:c>
      <x:c r="F18" s="35" t="s">
        <x:v>172</x:v>
      </x:c>
      <x:c r="G18" s="35" t="s">
        <x:v>70</x:v>
      </x:c>
      <x:c r="H18" s="35">
        <x:v>4</x:v>
      </x:c>
      <x:c r="I18" s="35" t="s">
        <x:v>225</x:v>
      </x:c>
      <x:c r="J18" s="35" t="s">
        <x:v>226</x:v>
      </x:c>
    </x:row>
    <x:row r="19" ht="42" customHeight="1">
      <x:c r="A19" s="33" t="s">
        <x:v>227</x:v>
      </x:c>
      <x:c r="B19" s="33" t="str">
        <x:v>Separar Han Tutor, Han Companion y los dos Speakings</x:v>
      </x:c>
      <x:c r="C19" s="33" t="str">
        <x:v>AI Teacher</x:v>
      </x:c>
      <x:c r="D19" s="33" t="str">
        <x:v>Sí</x:v>
      </x:c>
      <x:c r="E19" s="33" t="str">
        <x:v>Must</x:v>
      </x:c>
      <x:c r="F19" s="33" t="str">
        <x:v>Hecho</x:v>
      </x:c>
      <x:c r="G19" s="33" t="str">
        <x:v>Arean + Jazmín</x:v>
      </x:c>
      <x:c r="H19" s="33" t="n">
        <x:v>3</x:v>
      </x:c>
      <x:c r="I19" s="33" t="str">
        <x:v>Sin bloqueador técnico actual; vigilar regresiones</x:v>
      </x:c>
      <x:c r="J19" s="33" t="str">
        <x:v>Identidad, memoria, objetivos y UI separados</x:v>
      </x:c>
    </x:row>
    <x:row r="20" ht="42" customHeight="1">
      <x:c r="A20" s="35" t="s">
        <x:v>228</x:v>
      </x:c>
      <x:c r="B20" s="35" t="s">
        <x:v>229</x:v>
      </x:c>
      <x:c r="C20" s="35" t="s">
        <x:v>37</x:v>
      </x:c>
      <x:c r="D20" s="35" t="s">
        <x:v>170</x:v>
      </x:c>
      <x:c r="E20" s="35" t="s">
        <x:v>171</x:v>
      </x:c>
      <x:c r="F20" s="35" t="s">
        <x:v>172</x:v>
      </x:c>
      <x:c r="G20" s="35" t="s">
        <x:v>230</x:v>
      </x:c>
      <x:c r="H20" s="35">
        <x:v>6</x:v>
      </x:c>
      <x:c r="I20" s="35" t="s">
        <x:v>231</x:v>
      </x:c>
      <x:c r="J20" s="35" t="s">
        <x:v>232</x:v>
      </x:c>
    </x:row>
    <x:row r="21" ht="42" customHeight="1">
      <x:c r="A21" s="33" t="s">
        <x:v>233</x:v>
      </x:c>
      <x:c r="B21" s="33" t="s">
        <x:v>234</x:v>
      </x:c>
      <x:c r="C21" s="33" t="s">
        <x:v>37</x:v>
      </x:c>
      <x:c r="D21" s="33" t="s">
        <x:v>170</x:v>
      </x:c>
      <x:c r="E21" s="33" t="s">
        <x:v>171</x:v>
      </x:c>
      <x:c r="F21" s="33" t="s">
        <x:v>172</x:v>
      </x:c>
      <x:c r="G21" s="33" t="s">
        <x:v>70</x:v>
      </x:c>
      <x:c r="H21" s="33">
        <x:v>4</x:v>
      </x:c>
      <x:c r="I21" s="33" t="s">
        <x:v>235</x:v>
      </x:c>
      <x:c r="J21" s="33" t="s">
        <x:v>236</x:v>
      </x:c>
    </x:row>
    <x:row r="22" ht="42" customHeight="1">
      <x:c r="A22" s="35" t="s">
        <x:v>237</x:v>
      </x:c>
      <x:c r="B22" s="35" t="str">
        <x:v>Silencio, ruido y transcripciones estables</x:v>
      </x:c>
      <x:c r="C22" s="35" t="str">
        <x:v>Speaking</x:v>
      </x:c>
      <x:c r="D22" s="35" t="str">
        <x:v>Sí</x:v>
      </x:c>
      <x:c r="E22" s="35" t="str">
        <x:v>Must</x:v>
      </x:c>
      <x:c r="F22" s="35" t="str">
        <x:v>En progreso</x:v>
      </x:c>
      <x:c r="G22" s="35" t="str">
        <x:v>Arean</x:v>
      </x:c>
      <x:c r="H22" s="35" t="n">
        <x:v>4</x:v>
      </x:c>
      <x:c r="I22" s="35" t="str">
        <x:v>Falta prueba amplia en dispositivos y ambientes reales</x:v>
      </x:c>
      <x:c r="J22" s="35" t="str">
        <x:v>Sin falsos turnos graves ni firmas de prompt mostradas, guardadas o enviadas</x:v>
      </x:c>
    </x:row>
    <x:row r="23" ht="42" customHeight="1">
      <x:c r="A23" s="33" t="s">
        <x:v>238</x:v>
      </x:c>
      <x:c r="B23" s="33" t="s">
        <x:v>239</x:v>
      </x:c>
      <x:c r="C23" s="33" t="s">
        <x:v>38</x:v>
      </x:c>
      <x:c r="D23" s="33" t="s">
        <x:v>170</x:v>
      </x:c>
      <x:c r="E23" s="33" t="s">
        <x:v>171</x:v>
      </x:c>
      <x:c r="F23" s="33" t="s">
        <x:v>172</x:v>
      </x:c>
      <x:c r="G23" s="33" t="s">
        <x:v>230</x:v>
      </x:c>
      <x:c r="H23" s="33">
        <x:v>5</x:v>
      </x:c>
      <x:c r="I23" s="33" t="s">
        <x:v>240</x:v>
      </x:c>
      <x:c r="J23" s="33" t="s">
        <x:v>241</x:v>
      </x:c>
    </x:row>
    <x:row r="24" ht="42" customHeight="1">
      <x:c r="A24" s="35" t="s">
        <x:v>242</x:v>
      </x:c>
      <x:c r="B24" s="35" t="s">
        <x:v>243</x:v>
      </x:c>
      <x:c r="C24" s="35" t="s">
        <x:v>244</x:v>
      </x:c>
      <x:c r="D24" s="35" t="s">
        <x:v>170</x:v>
      </x:c>
      <x:c r="E24" s="35" t="s">
        <x:v>171</x:v>
      </x:c>
      <x:c r="F24" s="35" t="s">
        <x:v>172</x:v>
      </x:c>
      <x:c r="G24" s="35" t="s">
        <x:v>230</x:v>
      </x:c>
      <x:c r="H24" s="35">
        <x:v>5</x:v>
      </x:c>
      <x:c r="I24" s="35" t="s">
        <x:v>245</x:v>
      </x:c>
      <x:c r="J24" s="35" t="s">
        <x:v>246</x:v>
      </x:c>
    </x:row>
    <x:row r="25" ht="42" customHeight="1">
      <x:c r="A25" s="33" t="s">
        <x:v>247</x:v>
      </x:c>
      <x:c r="B25" s="33" t="s">
        <x:v>248</x:v>
      </x:c>
      <x:c r="C25" s="33" t="s">
        <x:v>249</x:v>
      </x:c>
      <x:c r="D25" s="33" t="s">
        <x:v>170</x:v>
      </x:c>
      <x:c r="E25" s="33" t="s">
        <x:v>171</x:v>
      </x:c>
      <x:c r="F25" s="33" t="s">
        <x:v>185</x:v>
      </x:c>
      <x:c r="G25" s="33" t="s">
        <x:v>70</x:v>
      </x:c>
      <x:c r="H25" s="33">
        <x:v>5</x:v>
      </x:c>
      <x:c r="I25" s="33" t="s">
        <x:v>250</x:v>
      </x:c>
      <x:c r="J25" s="33" t="s">
        <x:v>251</x:v>
      </x:c>
    </x:row>
    <x:row r="26" ht="42" customHeight="1">
      <x:c r="A26" s="35" t="s">
        <x:v>252</x:v>
      </x:c>
      <x:c r="B26" s="35" t="s">
        <x:v>253</x:v>
      </x:c>
      <x:c r="C26" s="35" t="s">
        <x:v>254</x:v>
      </x:c>
      <x:c r="D26" s="35" t="s">
        <x:v>170</x:v>
      </x:c>
      <x:c r="E26" s="35" t="s">
        <x:v>171</x:v>
      </x:c>
      <x:c r="F26" s="35" t="s">
        <x:v>185</x:v>
      </x:c>
      <x:c r="G26" s="35" t="s">
        <x:v>70</x:v>
      </x:c>
      <x:c r="H26" s="35">
        <x:v>4</x:v>
      </x:c>
      <x:c r="I26" s="35" t="s">
        <x:v>255</x:v>
      </x:c>
      <x:c r="J26" s="35" t="s">
        <x:v>256</x:v>
      </x:c>
    </x:row>
    <x:row r="27" ht="42" customHeight="1">
      <x:c r="A27" s="33" t="s">
        <x:v>257</x:v>
      </x:c>
      <x:c r="B27" s="33" t="s">
        <x:v>258</x:v>
      </x:c>
      <x:c r="C27" s="33" t="s">
        <x:v>259</x:v>
      </x:c>
      <x:c r="D27" s="33" t="s">
        <x:v>170</x:v>
      </x:c>
      <x:c r="E27" s="33" t="s">
        <x:v>171</x:v>
      </x:c>
      <x:c r="F27" s="33" t="str">
        <x:v>En progreso</x:v>
      </x:c>
      <x:c r="G27" s="33" t="str">
        <x:v>Arean + Jazmín</x:v>
      </x:c>
      <x:c r="H27" s="33" t="n">
        <x:v>3</x:v>
      </x:c>
      <x:c r="I27" s="33" t="str">
        <x:v>Falta reconciliar techos de tokens con Usage real</x:v>
      </x:c>
      <x:c r="J27" s="33" t="str">
        <x:v>Tokens de entrada/salida y costo real semanal por función con límites verificados</x:v>
      </x:c>
    </x:row>
    <x:row r="28" ht="42" customHeight="1">
      <x:c r="A28" s="35" t="s">
        <x:v>260</x:v>
      </x:c>
      <x:c r="B28" s="35" t="s">
        <x:v>261</x:v>
      </x:c>
      <x:c r="C28" s="35" t="s">
        <x:v>262</x:v>
      </x:c>
      <x:c r="D28" s="35" t="s">
        <x:v>263</x:v>
      </x:c>
      <x:c r="E28" s="35" t="s">
        <x:v>213</x:v>
      </x:c>
      <x:c r="F28" s="35" t="s">
        <x:v>172</x:v>
      </x:c>
      <x:c r="G28" s="35" t="s">
        <x:v>70</x:v>
      </x:c>
      <x:c r="H28" s="35">
        <x:v>4</x:v>
      </x:c>
      <x:c r="I28" s="35" t="s">
        <x:v>264</x:v>
      </x:c>
      <x:c r="J28" s="35" t="s">
        <x:v>265</x:v>
      </x:c>
    </x:row>
    <x:row r="29" ht="42" customHeight="1">
      <x:c r="A29" s="33" t="s">
        <x:v>266</x:v>
      </x:c>
      <x:c r="B29" s="33" t="s">
        <x:v>267</x:v>
      </x:c>
      <x:c r="C29" s="33" t="s">
        <x:v>268</x:v>
      </x:c>
      <x:c r="D29" s="33" t="s">
        <x:v>263</x:v>
      </x:c>
      <x:c r="E29" s="33" t="s">
        <x:v>213</x:v>
      </x:c>
      <x:c r="F29" s="33" t="s">
        <x:v>172</x:v>
      </x:c>
      <x:c r="G29" s="33" t="s">
        <x:v>230</x:v>
      </x:c>
      <x:c r="H29" s="33">
        <x:v>4</x:v>
      </x:c>
      <x:c r="I29" s="33" t="s">
        <x:v>269</x:v>
      </x:c>
      <x:c r="J29" s="33" t="s">
        <x:v>270</x:v>
      </x:c>
    </x:row>
    <x:row r="30" ht="42" customHeight="1">
      <x:c r="A30" s="35" t="s">
        <x:v>271</x:v>
      </x:c>
      <x:c r="B30" s="35" t="s">
        <x:v>272</x:v>
      </x:c>
      <x:c r="C30" s="35" t="s">
        <x:v>273</x:v>
      </x:c>
      <x:c r="D30" s="35" t="s">
        <x:v>263</x:v>
      </x:c>
      <x:c r="E30" s="35" t="s">
        <x:v>274</x:v>
      </x:c>
      <x:c r="F30" s="35" t="s">
        <x:v>185</x:v>
      </x:c>
      <x:c r="G30" s="35" t="s">
        <x:v>78</x:v>
      </x:c>
      <x:c r="H30" s="35">
        <x:v>3</x:v>
      </x:c>
      <x:c r="I30" s="35" t="s">
        <x:v>275</x:v>
      </x:c>
      <x:c r="J30" s="35" t="s">
        <x:v>276</x:v>
      </x:c>
    </x:row>
    <x:row r="31" ht="42" customHeight="1">
      <x:c r="A31" s="33" t="s">
        <x:v>277</x:v>
      </x:c>
      <x:c r="B31" s="33" t="s">
        <x:v>278</x:v>
      </x:c>
      <x:c r="C31" s="33" t="s">
        <x:v>273</x:v>
      </x:c>
      <x:c r="D31" s="33" t="s">
        <x:v>279</x:v>
      </x:c>
      <x:c r="E31" s="33" t="s">
        <x:v>274</x:v>
      </x:c>
      <x:c r="F31" s="33" t="s">
        <x:v>185</x:v>
      </x:c>
      <x:c r="G31" s="33" t="s">
        <x:v>280</x:v>
      </x:c>
      <x:c r="H31" s="33">
        <x:v>15</x:v>
      </x:c>
      <x:c r="I31" s="33" t="s">
        <x:v>281</x:v>
      </x:c>
      <x:c r="J31" s="33" t="s">
        <x:v>282</x:v>
      </x:c>
    </x:row>
    <x:row r="32" ht="42" customHeight="1">
      <x:c r="A32" s="35" t="s">
        <x:v>283</x:v>
      </x:c>
      <x:c r="B32" s="35" t="s">
        <x:v>284</x:v>
      </x:c>
      <x:c r="C32" s="35" t="s">
        <x:v>285</x:v>
      </x:c>
      <x:c r="D32" s="35" t="s">
        <x:v>279</x:v>
      </x:c>
      <x:c r="E32" s="35" t="s">
        <x:v>274</x:v>
      </x:c>
      <x:c r="F32" s="35" t="s">
        <x:v>185</x:v>
      </x:c>
      <x:c r="G32" s="35" t="s">
        <x:v>230</x:v>
      </x:c>
      <x:c r="H32" s="35">
        <x:v>8</x:v>
      </x:c>
      <x:c r="I32" s="35" t="s">
        <x:v>286</x:v>
      </x:c>
      <x:c r="J32" s="35" t="s">
        <x:v>287</x:v>
      </x:c>
    </x:row>
    <x:row r="33" ht="42" customHeight="1">
      <x:c r="A33" s="33" t="s">
        <x:v>288</x:v>
      </x:c>
      <x:c r="B33" s="33" t="s">
        <x:v>289</x:v>
      </x:c>
      <x:c r="C33" s="33" t="s">
        <x:v>290</x:v>
      </x:c>
      <x:c r="D33" s="33" t="s">
        <x:v>279</x:v>
      </x:c>
      <x:c r="E33" s="33" t="s">
        <x:v>274</x:v>
      </x:c>
      <x:c r="F33" s="33" t="s">
        <x:v>185</x:v>
      </x:c>
      <x:c r="G33" s="33" t="s">
        <x:v>70</x:v>
      </x:c>
      <x:c r="H33" s="33">
        <x:v>15</x:v>
      </x:c>
      <x:c r="I33" s="33" t="s">
        <x:v>291</x:v>
      </x:c>
      <x:c r="J33" s="33" t="s">
        <x:v>292</x:v>
      </x:c>
    </x:row>
    <x:row r="34" ht="42" customHeight="1">
      <x:c r="A34" s="48" t="s">
        <x:v>293</x:v>
      </x:c>
      <x:c r="B34" s="48" t="s">
        <x:v>294</x:v>
      </x:c>
      <x:c r="C34" s="48" t="s">
        <x:v>295</x:v>
      </x:c>
      <x:c r="D34" s="48" t="s">
        <x:v>279</x:v>
      </x:c>
      <x:c r="E34" s="48" t="s">
        <x:v>274</x:v>
      </x:c>
      <x:c r="F34" s="48" t="s">
        <x:v>185</x:v>
      </x:c>
      <x:c r="G34" s="48" t="s">
        <x:v>74</x:v>
      </x:c>
      <x:c r="H34" s="48">
        <x:v>20</x:v>
      </x:c>
      <x:c r="I34" s="48" t="s">
        <x:v>296</x:v>
      </x:c>
      <x:c r="J34" s="48" t="s">
        <x:v>297</x:v>
      </x:c>
    </x:row>
    <x:row r="35">
      <x:c r="A35" t="str">
        <x:v>HAN-01</x:v>
      </x:c>
      <x:c r="B35" s="169" t="str">
        <x:v>Han Companion por voz</x:v>
      </x:c>
      <x:c r="C35" s="169" t="str">
        <x:v>Han Companion</x:v>
      </x:c>
      <x:c r="D35" s="169" t="str">
        <x:v>Condicional</x:v>
      </x:c>
      <x:c r="E35" s="169" t="str">
        <x:v>Should</x:v>
      </x:c>
      <x:c r="F35" s="169" t="str">
        <x:v>Hecho</x:v>
      </x:c>
      <x:c r="G35" s="169" t="str">
        <x:v>Arean</x:v>
      </x:c>
      <x:c r="H35" s="169" t="n">
        <x:v>3</x:v>
      </x:c>
      <x:c r="I35" s="169" t="str">
        <x:v>Falta QA externo de voz y memoria</x:v>
      </x:c>
      <x:c r="J35" s="169" t="str">
        <x:v>Orbe sin chat visible; silencio y turnos débiles no producen texto falso</x:v>
      </x:c>
    </x:row>
    <x:row r="36">
      <x:c r="A36" t="str">
        <x:v>VOC-01</x:v>
      </x:c>
      <x:c r="B36" s="169" t="str">
        <x:v>Han Vocabulary contextual</x:v>
      </x:c>
      <x:c r="C36" s="169" t="str">
        <x:v>Han Vocabulary</x:v>
      </x:c>
      <x:c r="D36" s="169" t="str">
        <x:v>Condicional</x:v>
      </x:c>
      <x:c r="E36" s="169" t="str">
        <x:v>Should</x:v>
      </x:c>
      <x:c r="F36" s="169" t="str">
        <x:v>Hecho</x:v>
      </x:c>
      <x:c r="G36" s="169" t="str">
        <x:v>Arean</x:v>
      </x:c>
      <x:c r="H36" s="169" t="n">
        <x:v>2</x:v>
      </x:c>
      <x:c r="I36" s="169" t="str">
        <x:v>Falta observar búsquedas reales</x:v>
      </x:c>
      <x:c r="J36" s="169" t="str">
        <x:v>Consulta por caracteres o pinyin al nivel del alumno, sin puntos ni HanCoins</x:v>
      </x:c>
    </x:row>
    <x:row r="37">
      <x:c r="A37" t="str">
        <x:v>MKT-01</x:v>
      </x:c>
      <x:c r="B37" s="169" t="str">
        <x:v>Landing pública desde cero a avanzado</x:v>
      </x:c>
      <x:c r="C37" s="169" t="str">
        <x:v>Marketing</x:v>
      </x:c>
      <x:c r="D37" s="169" t="str">
        <x:v>Sí</x:v>
      </x:c>
      <x:c r="E37" s="169" t="str">
        <x:v>Should</x:v>
      </x:c>
      <x:c r="F37" s="169" t="str">
        <x:v>Hecho</x:v>
      </x:c>
      <x:c r="G37" s="169" t="str">
        <x:v>Arean</x:v>
      </x:c>
      <x:c r="H37" s="169" t="n">
        <x:v>3</x:v>
      </x:c>
      <x:c r="I37" s="169" t="str">
        <x:v>Falta medir conversión</x:v>
      </x:c>
      <x:c r="J37" s="169" t="str">
        <x:v>Propuesta clara, registro y acceso; avatar, HanCoins, vocabulario y leaderboard explicados</x:v>
      </x:c>
    </x:row>
    <x:row r="38">
      <x:c r="A38" t="str">
        <x:v>MOT-01</x:v>
      </x:c>
      <x:c r="B38" s="169" t="str">
        <x:v>Avatar, HanCoins, tienda y leaderboard</x:v>
      </x:c>
      <x:c r="C38" s="169" t="str">
        <x:v>Motivación</x:v>
      </x:c>
      <x:c r="D38" s="169" t="str">
        <x:v>Condicional</x:v>
      </x:c>
      <x:c r="E38" s="169" t="str">
        <x:v>Should</x:v>
      </x:c>
      <x:c r="F38" s="169" t="str">
        <x:v>Hecho</x:v>
      </x:c>
      <x:c r="G38" s="169" t="str">
        <x:v>Arean</x:v>
      </x:c>
      <x:c r="H38" s="169" t="n">
        <x:v>4</x:v>
      </x:c>
      <x:c r="I38" s="169" t="str">
        <x:v>Impacto educativo y de retención no validado</x:v>
      </x:c>
      <x:c r="J38" s="169" t="str">
        <x:v>Economía cosmética separada del Nivel General y premio semanal auditable</x:v>
      </x:c>
    </x:row>
    <x:row r="39">
      <x:c r="A39" t="str">
        <x:v>CST-01</x:v>
      </x:c>
      <x:c r="B39" s="169" t="str">
        <x:v>Guardrails de tokens y recompensas idempotentes</x:v>
      </x:c>
      <x:c r="C39" s="169" t="str">
        <x:v>Costos y datos</x:v>
      </x:c>
      <x:c r="D39" s="169" t="str">
        <x:v>Sí</x:v>
      </x:c>
      <x:c r="E39" s="169" t="str">
        <x:v>Must</x:v>
      </x:c>
      <x:c r="F39" s="169" t="str">
        <x:v>En progreso</x:v>
      </x:c>
      <x:c r="G39" s="169" t="str">
        <x:v>Arean + Jazmín</x:v>
      </x:c>
      <x:c r="H39" s="169" t="n">
        <x:v>3</x:v>
      </x:c>
      <x:c r="I39" s="169" t="str">
        <x:v>Auditoría actual aún debe cerrarse y medirse en beta</x:v>
      </x:c>
      <x:c r="J39" s="169" t="str">
        <x:v>Límites, registros de uso y reintentos no duplican evaluaciones, progreso ni recompensas</x:v>
      </x:c>
    </x:row>
  </x:sheetData>
  <x:mergeCells>
    <x:mergeCell ref="A1:J1"/>
    <x:mergeCell ref="A3:J3"/>
  </x:mergeCells>
  <x:conditionalFormatting sqref="F5:F34">
    <x:cfRule type="containsText" dxfId="19" priority="5" operator="containsText" text="En progreso"/>
    <x:cfRule type="containsText" dxfId="18" priority="6" operator="containsText" text="Hecho"/>
    <x:cfRule type="containsText" dxfId="17" priority="7" operator="containsText" text="Bloqueado"/>
  </x:conditionalFormatting>
  <x:dataValidations count="4">
    <x:dataValidation type="list" sqref="D5:D34">
      <x:formula1>"Sí,Condicional,Después"</x:formula1>
    </x:dataValidation>
    <x:dataValidation type="list" sqref="E5:E34">
      <x:formula1>"Must,Should,Could"</x:formula1>
    </x:dataValidation>
    <x:dataValidation type="list" sqref="F5:F34">
      <x:formula1>"No iniciado,En progreso,Bloqueado,Hecho"</x:formula1>
    </x:dataValidation>
    <x:dataValidation type="list" sqref="G5:G34">
      <x:formula1>"Arean,Jazmín,Krishna,Arean + Jazmín,Jazmín + Arean,Krishna + Jazmín"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73fee5fd9640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6.5" customWidth="1"/>
    <x:col min="2" max="2" width="10.375" customWidth="1"/>
    <x:col min="3" max="3" width="12" customWidth="1"/>
    <x:col min="4" max="4" width="51.125" customWidth="1"/>
    <x:col min="5" max="5" width="67" customWidth="1"/>
    <x:col min="6" max="6" width="9.625" customWidth="1"/>
    <x:col min="7" max="7" width="27" customWidth="1"/>
    <x:col min="8" max="8" width="15" customWidth="1"/>
    <x:col min="9" max="9" width="30" customWidth="1"/>
  </x:cols>
  <x:sheetData>
    <x:row r="1" s="3" customFormat="1" ht="29.100000381469727" customHeight="1">
      <x:c r="A1" s="144" t="s">
        <x:v>298</x:v>
      </x:c>
      <x:c r="B1" s="145"/>
      <x:c r="C1" s="145"/>
      <x:c r="D1" s="145"/>
      <x:c r="E1" s="145"/>
      <x:c r="F1" s="145"/>
      <x:c r="G1" s="145"/>
      <x:c r="H1" s="145"/>
      <x:c r="I1" s="146"/>
    </x:row>
    <x:row r="3" ht="15">
      <x:c r="A3" s="43" t="s">
        <x:v>67</x:v>
      </x:c>
      <x:c r="B3" s="94">
        <x:v>46256</x:v>
      </x:c>
    </x:row>
    <x:row r="4" ht="15">
      <x:c r="A4" s="43" t="s">
        <x:v>299</x:v>
      </x:c>
      <x:c r="B4" s="93" t="n">
        <x:f ca="1">DATEDIF(B3, TODAY(), "d") / 7</x:f>
        <x:v>2</x:v>
      </x:c>
      <x:c r="C4" s="92"/>
      <x:c r="D4" s="92"/>
    </x:row>
    <x:row r="6" s="3" customFormat="1" ht="21" customHeight="1">
      <x:c r="A6" s="152" t="s">
        <x:v>300</x:v>
      </x:c>
      <x:c r="B6" s="152"/>
      <x:c r="C6" s="152"/>
      <x:c r="D6" s="152"/>
      <x:c r="E6" s="152"/>
      <x:c r="F6" s="152"/>
      <x:c r="G6" s="152"/>
      <x:c r="H6" s="152"/>
      <x:c r="I6" s="152"/>
    </x:row>
    <x:row r="7" s="5" customFormat="1" ht="30">
      <x:c r="A7" s="28" t="s">
        <x:v>301</x:v>
      </x:c>
      <x:c r="B7" s="29" t="s">
        <x:v>302</x:v>
      </x:c>
      <x:c r="C7" s="29" t="s">
        <x:v>303</x:v>
      </x:c>
      <x:c r="D7" s="29" t="s">
        <x:v>304</x:v>
      </x:c>
      <x:c r="E7" s="29" t="s">
        <x:v>305</x:v>
      </x:c>
      <x:c r="F7" s="29" t="s">
        <x:v>306</x:v>
      </x:c>
      <x:c r="G7" s="29" t="s">
        <x:v>307</x:v>
      </x:c>
      <x:c r="H7" s="29" t="s">
        <x:v>49</x:v>
      </x:c>
      <x:c r="I7" s="30" t="s">
        <x:v>308</x:v>
      </x:c>
    </x:row>
    <x:row r="8" ht="215.25" customHeight="1">
      <x:c r="A8" s="33" t="str">
        <x:f t="shared" ref="A8:A23" si="0">B8&amp;"|"&amp;C8</x:f>
        <x:v>1|Arean</x:v>
      </x:c>
      <x:c r="B8" s="33">
        <x:v>1</x:v>
      </x:c>
      <x:c r="C8" s="33" t="s">
        <x:v>70</x:v>
      </x:c>
      <x:c r="D8" s="33" t="s">
        <x:v>309</x:v>
      </x:c>
      <x:c r="E8" s="33" t="s">
        <x:v>310</x:v>
      </x:c>
      <x:c r="F8" s="47">
        <x:v>66</x:v>
      </x:c>
      <x:c r="G8" s="33" t="s">
        <x:v>311</x:v>
      </x:c>
      <x:c r="H8" s="33" t="s">
        <x:v>312</x:v>
      </x:c>
      <x:c r="I8" s="33" t="s">
        <x:v>313</x:v>
      </x:c>
    </x:row>
    <x:row r="9" ht="186">
      <x:c r="A9" s="53" t="str">
        <x:f t="shared" si="0"/>
        <x:v>1|Jazmín</x:v>
      </x:c>
      <x:c r="B9" s="53">
        <x:v>1</x:v>
      </x:c>
      <x:c r="C9" s="53" t="s">
        <x:v>74</x:v>
      </x:c>
      <x:c r="D9" s="53" t="s">
        <x:v>314</x:v>
      </x:c>
      <x:c r="E9" s="53"/>
      <x:c r="F9" s="54"/>
      <x:c r="G9" s="53" t="s">
        <x:v>315</x:v>
      </x:c>
      <x:c r="H9" s="53" t="s">
        <x:v>172</x:v>
      </x:c>
      <x:c r="I9" s="53" t="s">
        <x:v>316</x:v>
      </x:c>
    </x:row>
    <x:row r="10" ht="54.95000076293945" customHeight="1">
      <x:c r="A10" s="53" t="str">
        <x:f t="shared" si="0"/>
        <x:v>2|Arean</x:v>
      </x:c>
      <x:c r="B10" s="53">
        <x:v>2</x:v>
      </x:c>
      <x:c r="C10" s="53" t="s">
        <x:v>70</x:v>
      </x:c>
      <x:c r="D10" s="53" t="s">
        <x:v>317</x:v>
      </x:c>
      <x:c r="E10" s="53" t="str">
        <x:v>Han Companion con orbe y bordes de voz; rechazo de silencio y firmas del prompt; Han Tutor con pedagogía progresiva; landing pública desde cero a avanzado; Han Vocabulary y propuesta de avatar/HanCoins visibles.</x:v>
      </x:c>
      <x:c r="F10" s="54"/>
      <x:c r="G10" s="53" t="str">
        <x:v>Falta validar estas mejoras con usuarios y revisar el mandarín del tramo piloto.</x:v>
      </x:c>
      <x:c r="H10" s="53" t="str">
        <x:v>En progreso</x:v>
      </x:c>
      <x:c r="I10" s="53" t="str">
        <x:v>Cerrar QA integral del inicio desde cero y reclutar testers</x:v>
      </x:c>
    </x:row>
    <x:row r="11" ht="54.95000076293945" customHeight="1">
      <x:c r="A11" s="33" t="str">
        <x:f t="shared" si="0"/>
        <x:v>2|Jazmín</x:v>
      </x:c>
      <x:c r="B11" s="33">
        <x:v>2</x:v>
      </x:c>
      <x:c r="C11" s="33" t="s">
        <x:v>74</x:v>
      </x:c>
      <x:c r="D11" s="33" t="s">
        <x:v>318</x:v>
      </x:c>
      <x:c r="E11" s="33"/>
      <x:c r="F11" s="47"/>
      <x:c r="G11" s="33" t="s">
        <x:v>319</x:v>
      </x:c>
      <x:c r="H11" s="33" t="s">
        <x:v>185</x:v>
      </x:c>
      <x:c r="I11" s="33" t="s">
        <x:v>320</x:v>
      </x:c>
    </x:row>
    <x:row r="12" ht="54.95000076293945" customHeight="1">
      <x:c r="A12" s="51" t="str">
        <x:f t="shared" si="0"/>
        <x:v>3|Arean</x:v>
      </x:c>
      <x:c r="B12" s="51">
        <x:v>3</x:v>
      </x:c>
      <x:c r="C12" s="51" t="s">
        <x:v>70</x:v>
      </x:c>
      <x:c r="D12" s="51" t="s">
        <x:v>321</x:v>
      </x:c>
      <x:c r="E12" s="51" t="str">
        <x:v>Auditoría de costo y datos en curso: límite para evaluación oral de placement, límite separado al cerrar misiones, idempotencia de finalización y recompensas, e índice para vocabulario por nivel y estado.</x:v>
      </x:c>
      <x:c r="F12" s="52"/>
      <x:c r="G12" s="51" t="str">
        <x:v>Cambios actuales sin confirmar; requieren migraciones y pruebas antes del cierre.</x:v>
      </x:c>
      <x:c r="H12" s="51" t="str">
        <x:v>En progreso</x:v>
      </x:c>
      <x:c r="I12" s="51" t="str">
        <x:v>Cerrar la auditoría sin mezclarla con trabajo paralelo</x:v>
      </x:c>
    </x:row>
    <x:row r="13" ht="54.95000076293945" customHeight="1">
      <x:c r="A13" s="35" t="str">
        <x:f t="shared" si="0"/>
        <x:v>3|Jazmín</x:v>
      </x:c>
      <x:c r="B13" s="35">
        <x:v>3</x:v>
      </x:c>
      <x:c r="C13" s="35" t="s">
        <x:v>74</x:v>
      </x:c>
      <x:c r="D13" s="35" t="s">
        <x:v>322</x:v>
      </x:c>
      <x:c r="E13" s="35"/>
      <x:c r="F13" s="46"/>
      <x:c r="G13" s="35" t="s">
        <x:v>323</x:v>
      </x:c>
      <x:c r="H13" s="35" t="s">
        <x:v>185</x:v>
      </x:c>
      <x:c r="I13" s="35" t="s">
        <x:v>324</x:v>
      </x:c>
    </x:row>
    <x:row r="14" ht="54.95000076293945" customHeight="1">
      <x:c r="A14" s="33" t="str">
        <x:f t="shared" si="0"/>
        <x:v>3|Krishna</x:v>
      </x:c>
      <x:c r="B14" s="33">
        <x:v>3</x:v>
      </x:c>
      <x:c r="C14" s="33" t="s">
        <x:v>78</x:v>
      </x:c>
      <x:c r="D14" s="33" t="s">
        <x:v>325</x:v>
      </x:c>
      <x:c r="E14" s="33"/>
      <x:c r="F14" s="47"/>
      <x:c r="G14" s="33" t="s">
        <x:v>326</x:v>
      </x:c>
      <x:c r="H14" s="33" t="s">
        <x:v>185</x:v>
      </x:c>
      <x:c r="I14" s="33" t="s">
        <x:v>327</x:v>
      </x:c>
    </x:row>
    <x:row r="15" ht="54.95000076293945" customHeight="1">
      <x:c r="A15" s="53" t="str">
        <x:f t="shared" si="0"/>
        <x:v>4|Arean</x:v>
      </x:c>
      <x:c r="B15" s="53">
        <x:v>4</x:v>
      </x:c>
      <x:c r="C15" s="53" t="s">
        <x:v>70</x:v>
      </x:c>
      <x:c r="D15" s="53" t="s">
        <x:v>328</x:v>
      </x:c>
      <x:c r="E15" s="53"/>
      <x:c r="F15" s="54"/>
      <x:c r="G15" s="53" t="s">
        <x:v>329</x:v>
      </x:c>
      <x:c r="H15" s="53" t="s">
        <x:v>185</x:v>
      </x:c>
      <x:c r="I15" s="53" t="s">
        <x:v>330</x:v>
      </x:c>
    </x:row>
    <x:row r="16" ht="54.95000076293945" customHeight="1">
      <x:c r="A16" s="33" t="str">
        <x:f t="shared" si="0"/>
        <x:v>4|Jazmín</x:v>
      </x:c>
      <x:c r="B16" s="33">
        <x:v>4</x:v>
      </x:c>
      <x:c r="C16" s="33" t="s">
        <x:v>74</x:v>
      </x:c>
      <x:c r="D16" s="33" t="s">
        <x:v>331</x:v>
      </x:c>
      <x:c r="E16" s="33"/>
      <x:c r="F16" s="47"/>
      <x:c r="G16" s="33" t="s">
        <x:v>332</x:v>
      </x:c>
      <x:c r="H16" s="33" t="s">
        <x:v>185</x:v>
      </x:c>
      <x:c r="I16" s="33" t="s">
        <x:v>333</x:v>
      </x:c>
    </x:row>
    <x:row r="17" ht="54.95000076293945" customHeight="1">
      <x:c r="A17" s="35" t="str">
        <x:f t="shared" si="0"/>
        <x:v>4|Krishna</x:v>
      </x:c>
      <x:c r="B17" s="35">
        <x:v>4</x:v>
      </x:c>
      <x:c r="C17" s="35" t="s">
        <x:v>78</x:v>
      </x:c>
      <x:c r="D17" s="35" t="s">
        <x:v>334</x:v>
      </x:c>
      <x:c r="E17" s="35"/>
      <x:c r="F17" s="46"/>
      <x:c r="G17" s="35" t="s">
        <x:v>335</x:v>
      </x:c>
      <x:c r="H17" s="35" t="s">
        <x:v>185</x:v>
      </x:c>
      <x:c r="I17" s="35" t="s">
        <x:v>336</x:v>
      </x:c>
    </x:row>
    <x:row r="18" ht="54.95000076293945" customHeight="1">
      <x:c r="A18" s="51" t="str">
        <x:f t="shared" si="0"/>
        <x:v>5|Arean</x:v>
      </x:c>
      <x:c r="B18" s="51">
        <x:v>5</x:v>
      </x:c>
      <x:c r="C18" s="51" t="s">
        <x:v>70</x:v>
      </x:c>
      <x:c r="D18" s="51" t="s">
        <x:v>337</x:v>
      </x:c>
      <x:c r="E18" s="51"/>
      <x:c r="F18" s="52"/>
      <x:c r="G18" s="51" t="s">
        <x:v>338</x:v>
      </x:c>
      <x:c r="H18" s="51" t="s">
        <x:v>185</x:v>
      </x:c>
      <x:c r="I18" s="51" t="s">
        <x:v>339</x:v>
      </x:c>
    </x:row>
    <x:row r="19" ht="54.95000076293945" customHeight="1">
      <x:c r="A19" s="35" t="str">
        <x:f t="shared" si="0"/>
        <x:v>5|Jazmín</x:v>
      </x:c>
      <x:c r="B19" s="35">
        <x:v>5</x:v>
      </x:c>
      <x:c r="C19" s="35" t="s">
        <x:v>74</x:v>
      </x:c>
      <x:c r="D19" s="35" t="s">
        <x:v>340</x:v>
      </x:c>
      <x:c r="E19" s="35"/>
      <x:c r="F19" s="46"/>
      <x:c r="G19" s="35" t="s">
        <x:v>341</x:v>
      </x:c>
      <x:c r="H19" s="35" t="s">
        <x:v>185</x:v>
      </x:c>
      <x:c r="I19" s="35" t="s">
        <x:v>342</x:v>
      </x:c>
    </x:row>
    <x:row r="20" ht="54.95000076293945" customHeight="1">
      <x:c r="A20" s="33" t="str">
        <x:f t="shared" si="0"/>
        <x:v>5|Krishna</x:v>
      </x:c>
      <x:c r="B20" s="33">
        <x:v>5</x:v>
      </x:c>
      <x:c r="C20" s="33" t="s">
        <x:v>78</x:v>
      </x:c>
      <x:c r="D20" s="33" t="s">
        <x:v>343</x:v>
      </x:c>
      <x:c r="E20" s="33"/>
      <x:c r="F20" s="47"/>
      <x:c r="G20" s="33" t="s">
        <x:v>344</x:v>
      </x:c>
      <x:c r="H20" s="33" t="s">
        <x:v>185</x:v>
      </x:c>
      <x:c r="I20" s="33" t="s">
        <x:v>345</x:v>
      </x:c>
    </x:row>
    <x:row r="21" ht="54.95000076293945" customHeight="1">
      <x:c r="A21" s="53" t="str">
        <x:f t="shared" si="0"/>
        <x:v>6|Arean</x:v>
      </x:c>
      <x:c r="B21" s="53">
        <x:v>6</x:v>
      </x:c>
      <x:c r="C21" s="53" t="s">
        <x:v>70</x:v>
      </x:c>
      <x:c r="D21" s="53" t="s">
        <x:v>346</x:v>
      </x:c>
      <x:c r="E21" s="53"/>
      <x:c r="F21" s="54"/>
      <x:c r="G21" s="53" t="s">
        <x:v>347</x:v>
      </x:c>
      <x:c r="H21" s="53" t="s">
        <x:v>185</x:v>
      </x:c>
      <x:c r="I21" s="53" t="s">
        <x:v>348</x:v>
      </x:c>
    </x:row>
    <x:row r="22" ht="54.95000076293945" customHeight="1">
      <x:c r="A22" s="33" t="str">
        <x:f t="shared" si="0"/>
        <x:v>6|Jazmín</x:v>
      </x:c>
      <x:c r="B22" s="33">
        <x:v>6</x:v>
      </x:c>
      <x:c r="C22" s="33" t="s">
        <x:v>74</x:v>
      </x:c>
      <x:c r="D22" s="33" t="s">
        <x:v>349</x:v>
      </x:c>
      <x:c r="E22" s="33"/>
      <x:c r="F22" s="47"/>
      <x:c r="G22" s="33" t="s">
        <x:v>350</x:v>
      </x:c>
      <x:c r="H22" s="33" t="s">
        <x:v>185</x:v>
      </x:c>
      <x:c r="I22" s="33" t="s">
        <x:v>351</x:v>
      </x:c>
    </x:row>
    <x:row r="23" ht="54.95000076293945" customHeight="1">
      <x:c r="A23" s="35" t="str">
        <x:f t="shared" si="0"/>
        <x:v>6|Krishna</x:v>
      </x:c>
      <x:c r="B23" s="35">
        <x:v>6</x:v>
      </x:c>
      <x:c r="C23" s="35" t="s">
        <x:v>78</x:v>
      </x:c>
      <x:c r="D23" s="35" t="s">
        <x:v>352</x:v>
      </x:c>
      <x:c r="E23" s="35"/>
      <x:c r="F23" s="46"/>
      <x:c r="G23" s="35" t="s">
        <x:v>353</x:v>
      </x:c>
      <x:c r="H23" s="35" t="s">
        <x:v>185</x:v>
      </x:c>
      <x:c r="I23" s="35" t="s">
        <x:v>354</x:v>
      </x:c>
    </x:row>
    <x:row r="24" ht="54.95000076293945" customHeight="1">
      <x:c r="A24" s="51" t="str">
        <x:f t="shared" ref="A24:A53" si="1">B24&amp;"|"&amp;C24</x:f>
        <x:v>7|Arean</x:v>
      </x:c>
      <x:c r="B24" s="51">
        <x:v>7</x:v>
      </x:c>
      <x:c r="C24" s="51" t="s">
        <x:v>70</x:v>
      </x:c>
      <x:c r="D24" s="51" t="s">
        <x:v>355</x:v>
      </x:c>
      <x:c r="E24" s="51"/>
      <x:c r="F24" s="52"/>
      <x:c r="G24" s="51" t="s">
        <x:v>356</x:v>
      </x:c>
      <x:c r="H24" s="51" t="s">
        <x:v>185</x:v>
      </x:c>
      <x:c r="I24" s="51" t="s">
        <x:v>357</x:v>
      </x:c>
    </x:row>
    <x:row r="25" ht="54.95000076293945" customHeight="1">
      <x:c r="A25" s="35" t="str">
        <x:f t="shared" si="1"/>
        <x:v>7|Jazmín</x:v>
      </x:c>
      <x:c r="B25" s="35">
        <x:v>7</x:v>
      </x:c>
      <x:c r="C25" s="35" t="s">
        <x:v>74</x:v>
      </x:c>
      <x:c r="D25" s="35" t="s">
        <x:v>358</x:v>
      </x:c>
      <x:c r="E25" s="35"/>
      <x:c r="F25" s="46"/>
      <x:c r="G25" s="35" t="s">
        <x:v>359</x:v>
      </x:c>
      <x:c r="H25" s="35" t="s">
        <x:v>185</x:v>
      </x:c>
      <x:c r="I25" s="35" t="s">
        <x:v>360</x:v>
      </x:c>
    </x:row>
    <x:row r="26" ht="54.95000076293945" customHeight="1">
      <x:c r="A26" s="33" t="str">
        <x:f t="shared" si="1"/>
        <x:v>7|Krishna</x:v>
      </x:c>
      <x:c r="B26" s="33">
        <x:v>7</x:v>
      </x:c>
      <x:c r="C26" s="33" t="s">
        <x:v>78</x:v>
      </x:c>
      <x:c r="D26" s="33" t="s">
        <x:v>361</x:v>
      </x:c>
      <x:c r="E26" s="33"/>
      <x:c r="F26" s="47"/>
      <x:c r="G26" s="33" t="s">
        <x:v>362</x:v>
      </x:c>
      <x:c r="H26" s="33" t="s">
        <x:v>185</x:v>
      </x:c>
      <x:c r="I26" s="33" t="s">
        <x:v>363</x:v>
      </x:c>
    </x:row>
    <x:row r="27" ht="54.95000076293945" customHeight="1">
      <x:c r="A27" s="53" t="str">
        <x:f t="shared" si="1"/>
        <x:v>8|Arean</x:v>
      </x:c>
      <x:c r="B27" s="53">
        <x:v>8</x:v>
      </x:c>
      <x:c r="C27" s="53" t="s">
        <x:v>70</x:v>
      </x:c>
      <x:c r="D27" s="53" t="s">
        <x:v>364</x:v>
      </x:c>
      <x:c r="E27" s="53"/>
      <x:c r="F27" s="54"/>
      <x:c r="G27" s="53" t="s">
        <x:v>365</x:v>
      </x:c>
      <x:c r="H27" s="53" t="s">
        <x:v>185</x:v>
      </x:c>
      <x:c r="I27" s="53" t="s">
        <x:v>366</x:v>
      </x:c>
    </x:row>
    <x:row r="28" ht="54.95000076293945" customHeight="1">
      <x:c r="A28" s="33" t="str">
        <x:f t="shared" si="1"/>
        <x:v>8|Jazmín</x:v>
      </x:c>
      <x:c r="B28" s="33">
        <x:v>8</x:v>
      </x:c>
      <x:c r="C28" s="33" t="s">
        <x:v>74</x:v>
      </x:c>
      <x:c r="D28" s="33" t="s">
        <x:v>367</x:v>
      </x:c>
      <x:c r="E28" s="33"/>
      <x:c r="F28" s="47"/>
      <x:c r="G28" s="33" t="s">
        <x:v>368</x:v>
      </x:c>
      <x:c r="H28" s="33" t="s">
        <x:v>185</x:v>
      </x:c>
      <x:c r="I28" s="33" t="s">
        <x:v>369</x:v>
      </x:c>
    </x:row>
    <x:row r="29" ht="54.95000076293945" customHeight="1">
      <x:c r="A29" s="35" t="str">
        <x:f t="shared" si="1"/>
        <x:v>8|Krishna</x:v>
      </x:c>
      <x:c r="B29" s="35">
        <x:v>8</x:v>
      </x:c>
      <x:c r="C29" s="35" t="s">
        <x:v>78</x:v>
      </x:c>
      <x:c r="D29" s="35" t="s">
        <x:v>370</x:v>
      </x:c>
      <x:c r="E29" s="35"/>
      <x:c r="F29" s="46"/>
      <x:c r="G29" s="35" t="s">
        <x:v>371</x:v>
      </x:c>
      <x:c r="H29" s="35" t="s">
        <x:v>185</x:v>
      </x:c>
      <x:c r="I29" s="35" t="s">
        <x:v>372</x:v>
      </x:c>
    </x:row>
    <x:row r="30" ht="54.95000076293945" customHeight="1">
      <x:c r="A30" s="51" t="str">
        <x:f t="shared" si="1"/>
        <x:v>9|Arean</x:v>
      </x:c>
      <x:c r="B30" s="51">
        <x:v>9</x:v>
      </x:c>
      <x:c r="C30" s="51" t="s">
        <x:v>70</x:v>
      </x:c>
      <x:c r="D30" s="51" t="s">
        <x:v>373</x:v>
      </x:c>
      <x:c r="E30" s="51"/>
      <x:c r="F30" s="52"/>
      <x:c r="G30" s="51" t="s">
        <x:v>374</x:v>
      </x:c>
      <x:c r="H30" s="51" t="s">
        <x:v>185</x:v>
      </x:c>
      <x:c r="I30" s="51" t="s">
        <x:v>375</x:v>
      </x:c>
    </x:row>
    <x:row r="31" ht="54.95000076293945" customHeight="1">
      <x:c r="A31" s="35" t="str">
        <x:f t="shared" si="1"/>
        <x:v>9|Jazmín</x:v>
      </x:c>
      <x:c r="B31" s="35">
        <x:v>9</x:v>
      </x:c>
      <x:c r="C31" s="35" t="s">
        <x:v>74</x:v>
      </x:c>
      <x:c r="D31" s="35" t="s">
        <x:v>376</x:v>
      </x:c>
      <x:c r="E31" s="35"/>
      <x:c r="F31" s="46"/>
      <x:c r="G31" s="35" t="s">
        <x:v>377</x:v>
      </x:c>
      <x:c r="H31" s="35" t="s">
        <x:v>185</x:v>
      </x:c>
      <x:c r="I31" s="35" t="s">
        <x:v>378</x:v>
      </x:c>
    </x:row>
    <x:row r="32" ht="54.95000076293945" customHeight="1">
      <x:c r="A32" s="33" t="str">
        <x:f t="shared" si="1"/>
        <x:v>9|Krishna</x:v>
      </x:c>
      <x:c r="B32" s="33">
        <x:v>9</x:v>
      </x:c>
      <x:c r="C32" s="33" t="s">
        <x:v>78</x:v>
      </x:c>
      <x:c r="D32" s="33" t="s">
        <x:v>379</x:v>
      </x:c>
      <x:c r="E32" s="33"/>
      <x:c r="F32" s="47"/>
      <x:c r="G32" s="33" t="s">
        <x:v>380</x:v>
      </x:c>
      <x:c r="H32" s="33" t="s">
        <x:v>185</x:v>
      </x:c>
      <x:c r="I32" s="33" t="s">
        <x:v>381</x:v>
      </x:c>
    </x:row>
    <x:row r="33" ht="54.95000076293945" customHeight="1">
      <x:c r="A33" s="53" t="str">
        <x:f t="shared" si="1"/>
        <x:v>10|Arean</x:v>
      </x:c>
      <x:c r="B33" s="53">
        <x:v>10</x:v>
      </x:c>
      <x:c r="C33" s="53" t="s">
        <x:v>70</x:v>
      </x:c>
      <x:c r="D33" s="53" t="s">
        <x:v>382</x:v>
      </x:c>
      <x:c r="E33" s="53"/>
      <x:c r="F33" s="54"/>
      <x:c r="G33" s="53" t="s">
        <x:v>383</x:v>
      </x:c>
      <x:c r="H33" s="53" t="s">
        <x:v>185</x:v>
      </x:c>
      <x:c r="I33" s="53" t="s">
        <x:v>384</x:v>
      </x:c>
    </x:row>
    <x:row r="34" ht="54.95000076293945" customHeight="1">
      <x:c r="A34" s="33" t="str">
        <x:f t="shared" si="1"/>
        <x:v>10|Jazmín</x:v>
      </x:c>
      <x:c r="B34" s="33">
        <x:v>10</x:v>
      </x:c>
      <x:c r="C34" s="33" t="s">
        <x:v>74</x:v>
      </x:c>
      <x:c r="D34" s="33" t="s">
        <x:v>385</x:v>
      </x:c>
      <x:c r="E34" s="33"/>
      <x:c r="F34" s="47"/>
      <x:c r="G34" s="33" t="s">
        <x:v>386</x:v>
      </x:c>
      <x:c r="H34" s="33" t="s">
        <x:v>185</x:v>
      </x:c>
      <x:c r="I34" s="33" t="s">
        <x:v>387</x:v>
      </x:c>
    </x:row>
    <x:row r="35" ht="54.95000076293945" customHeight="1">
      <x:c r="A35" s="35" t="str">
        <x:f t="shared" si="1"/>
        <x:v>10|Krishna</x:v>
      </x:c>
      <x:c r="B35" s="35">
        <x:v>10</x:v>
      </x:c>
      <x:c r="C35" s="35" t="s">
        <x:v>78</x:v>
      </x:c>
      <x:c r="D35" s="35" t="s">
        <x:v>388</x:v>
      </x:c>
      <x:c r="E35" s="35"/>
      <x:c r="F35" s="46"/>
      <x:c r="G35" s="35" t="s">
        <x:v>389</x:v>
      </x:c>
      <x:c r="H35" s="35" t="s">
        <x:v>185</x:v>
      </x:c>
      <x:c r="I35" s="35" t="s">
        <x:v>390</x:v>
      </x:c>
    </x:row>
    <x:row r="36" ht="54.95000076293945" customHeight="1">
      <x:c r="A36" s="51" t="str">
        <x:f t="shared" si="1"/>
        <x:v>11|Arean</x:v>
      </x:c>
      <x:c r="B36" s="51">
        <x:v>11</x:v>
      </x:c>
      <x:c r="C36" s="51" t="s">
        <x:v>70</x:v>
      </x:c>
      <x:c r="D36" s="51" t="s">
        <x:v>391</x:v>
      </x:c>
      <x:c r="E36" s="51"/>
      <x:c r="F36" s="52"/>
      <x:c r="G36" s="51" t="s">
        <x:v>392</x:v>
      </x:c>
      <x:c r="H36" s="51" t="s">
        <x:v>185</x:v>
      </x:c>
      <x:c r="I36" s="51" t="s">
        <x:v>393</x:v>
      </x:c>
    </x:row>
    <x:row r="37" ht="54.95000076293945" customHeight="1">
      <x:c r="A37" s="35" t="str">
        <x:f t="shared" si="1"/>
        <x:v>11|Jazmín</x:v>
      </x:c>
      <x:c r="B37" s="35">
        <x:v>11</x:v>
      </x:c>
      <x:c r="C37" s="35" t="s">
        <x:v>74</x:v>
      </x:c>
      <x:c r="D37" s="35" t="s">
        <x:v>394</x:v>
      </x:c>
      <x:c r="E37" s="35"/>
      <x:c r="F37" s="46"/>
      <x:c r="G37" s="35" t="s">
        <x:v>395</x:v>
      </x:c>
      <x:c r="H37" s="35" t="s">
        <x:v>185</x:v>
      </x:c>
      <x:c r="I37" s="35" t="s">
        <x:v>396</x:v>
      </x:c>
    </x:row>
    <x:row r="38" ht="54.95000076293945" customHeight="1">
      <x:c r="A38" s="33" t="str">
        <x:f t="shared" si="1"/>
        <x:v>11|Krishna</x:v>
      </x:c>
      <x:c r="B38" s="33">
        <x:v>11</x:v>
      </x:c>
      <x:c r="C38" s="33" t="s">
        <x:v>78</x:v>
      </x:c>
      <x:c r="D38" s="33" t="s">
        <x:v>397</x:v>
      </x:c>
      <x:c r="E38" s="33"/>
      <x:c r="F38" s="47"/>
      <x:c r="G38" s="33" t="s">
        <x:v>398</x:v>
      </x:c>
      <x:c r="H38" s="33" t="s">
        <x:v>185</x:v>
      </x:c>
      <x:c r="I38" s="33" t="s">
        <x:v>399</x:v>
      </x:c>
    </x:row>
    <x:row r="39" ht="54.95000076293945" customHeight="1">
      <x:c r="A39" s="53" t="str">
        <x:f t="shared" si="1"/>
        <x:v>12|Arean</x:v>
      </x:c>
      <x:c r="B39" s="53">
        <x:v>12</x:v>
      </x:c>
      <x:c r="C39" s="53" t="s">
        <x:v>70</x:v>
      </x:c>
      <x:c r="D39" s="53" t="s">
        <x:v>400</x:v>
      </x:c>
      <x:c r="E39" s="53"/>
      <x:c r="F39" s="54"/>
      <x:c r="G39" s="53" t="s">
        <x:v>401</x:v>
      </x:c>
      <x:c r="H39" s="53" t="s">
        <x:v>185</x:v>
      </x:c>
      <x:c r="I39" s="53" t="s">
        <x:v>402</x:v>
      </x:c>
    </x:row>
    <x:row r="40" ht="54.95000076293945" customHeight="1">
      <x:c r="A40" s="33" t="str">
        <x:f t="shared" si="1"/>
        <x:v>12|Jazmín</x:v>
      </x:c>
      <x:c r="B40" s="33">
        <x:v>12</x:v>
      </x:c>
      <x:c r="C40" s="33" t="s">
        <x:v>74</x:v>
      </x:c>
      <x:c r="D40" s="33" t="s">
        <x:v>403</x:v>
      </x:c>
      <x:c r="E40" s="33"/>
      <x:c r="F40" s="47"/>
      <x:c r="G40" s="33" t="s">
        <x:v>404</x:v>
      </x:c>
      <x:c r="H40" s="33" t="s">
        <x:v>185</x:v>
      </x:c>
      <x:c r="I40" s="33" t="s">
        <x:v>405</x:v>
      </x:c>
    </x:row>
    <x:row r="41" ht="54.95000076293945" customHeight="1">
      <x:c r="A41" s="35" t="str">
        <x:f t="shared" si="1"/>
        <x:v>12|Krishna</x:v>
      </x:c>
      <x:c r="B41" s="35">
        <x:v>12</x:v>
      </x:c>
      <x:c r="C41" s="35" t="s">
        <x:v>78</x:v>
      </x:c>
      <x:c r="D41" s="35" t="s">
        <x:v>406</x:v>
      </x:c>
      <x:c r="E41" s="35"/>
      <x:c r="F41" s="46"/>
      <x:c r="G41" s="35" t="s">
        <x:v>407</x:v>
      </x:c>
      <x:c r="H41" s="35" t="s">
        <x:v>185</x:v>
      </x:c>
      <x:c r="I41" s="35" t="s">
        <x:v>408</x:v>
      </x:c>
    </x:row>
    <x:row r="42" ht="54.95000076293945" customHeight="1">
      <x:c r="A42" s="51" t="str">
        <x:f t="shared" si="1"/>
        <x:v>13|Arean</x:v>
      </x:c>
      <x:c r="B42" s="51">
        <x:v>13</x:v>
      </x:c>
      <x:c r="C42" s="51" t="s">
        <x:v>70</x:v>
      </x:c>
      <x:c r="D42" s="51" t="s">
        <x:v>409</x:v>
      </x:c>
      <x:c r="E42" s="51"/>
      <x:c r="F42" s="52"/>
      <x:c r="G42" s="51" t="s">
        <x:v>410</x:v>
      </x:c>
      <x:c r="H42" s="51" t="s">
        <x:v>185</x:v>
      </x:c>
      <x:c r="I42" s="51" t="s">
        <x:v>411</x:v>
      </x:c>
    </x:row>
    <x:row r="43" ht="54.95000076293945" customHeight="1">
      <x:c r="A43" s="35" t="str">
        <x:f t="shared" si="1"/>
        <x:v>13|Jazmín</x:v>
      </x:c>
      <x:c r="B43" s="35">
        <x:v>13</x:v>
      </x:c>
      <x:c r="C43" s="35" t="s">
        <x:v>74</x:v>
      </x:c>
      <x:c r="D43" s="35" t="s">
        <x:v>412</x:v>
      </x:c>
      <x:c r="E43" s="35"/>
      <x:c r="F43" s="46"/>
      <x:c r="G43" s="35" t="s">
        <x:v>413</x:v>
      </x:c>
      <x:c r="H43" s="35" t="s">
        <x:v>185</x:v>
      </x:c>
      <x:c r="I43" s="35" t="s">
        <x:v>414</x:v>
      </x:c>
    </x:row>
    <x:row r="44" ht="54.95000076293945" customHeight="1">
      <x:c r="A44" s="33" t="str">
        <x:f t="shared" si="1"/>
        <x:v>13|Krishna</x:v>
      </x:c>
      <x:c r="B44" s="33">
        <x:v>13</x:v>
      </x:c>
      <x:c r="C44" s="33" t="s">
        <x:v>78</x:v>
      </x:c>
      <x:c r="D44" s="33" t="s">
        <x:v>415</x:v>
      </x:c>
      <x:c r="E44" s="33"/>
      <x:c r="F44" s="47"/>
      <x:c r="G44" s="33" t="s">
        <x:v>416</x:v>
      </x:c>
      <x:c r="H44" s="33" t="s">
        <x:v>185</x:v>
      </x:c>
      <x:c r="I44" s="33" t="s">
        <x:v>417</x:v>
      </x:c>
    </x:row>
    <x:row r="45" ht="54.95000076293945" customHeight="1">
      <x:c r="A45" s="53" t="str">
        <x:f t="shared" si="1"/>
        <x:v>14|Arean</x:v>
      </x:c>
      <x:c r="B45" s="53">
        <x:v>14</x:v>
      </x:c>
      <x:c r="C45" s="53" t="s">
        <x:v>70</x:v>
      </x:c>
      <x:c r="D45" s="53" t="s">
        <x:v>418</x:v>
      </x:c>
      <x:c r="E45" s="53"/>
      <x:c r="F45" s="54"/>
      <x:c r="G45" s="53" t="s">
        <x:v>419</x:v>
      </x:c>
      <x:c r="H45" s="53" t="s">
        <x:v>185</x:v>
      </x:c>
      <x:c r="I45" s="53" t="s">
        <x:v>420</x:v>
      </x:c>
    </x:row>
    <x:row r="46" ht="54.95000076293945" customHeight="1">
      <x:c r="A46" s="33" t="str">
        <x:f t="shared" si="1"/>
        <x:v>14|Jazmín</x:v>
      </x:c>
      <x:c r="B46" s="33">
        <x:v>14</x:v>
      </x:c>
      <x:c r="C46" s="33" t="s">
        <x:v>74</x:v>
      </x:c>
      <x:c r="D46" s="33" t="s">
        <x:v>421</x:v>
      </x:c>
      <x:c r="E46" s="33"/>
      <x:c r="F46" s="47"/>
      <x:c r="G46" s="33" t="s">
        <x:v>422</x:v>
      </x:c>
      <x:c r="H46" s="33" t="s">
        <x:v>185</x:v>
      </x:c>
      <x:c r="I46" s="33" t="s">
        <x:v>423</x:v>
      </x:c>
    </x:row>
    <x:row r="47" ht="54.95000076293945" customHeight="1">
      <x:c r="A47" s="35" t="str">
        <x:f t="shared" si="1"/>
        <x:v>14|Krishna</x:v>
      </x:c>
      <x:c r="B47" s="35">
        <x:v>14</x:v>
      </x:c>
      <x:c r="C47" s="35" t="s">
        <x:v>78</x:v>
      </x:c>
      <x:c r="D47" s="35" t="s">
        <x:v>424</x:v>
      </x:c>
      <x:c r="E47" s="35"/>
      <x:c r="F47" s="46"/>
      <x:c r="G47" s="35" t="s">
        <x:v>425</x:v>
      </x:c>
      <x:c r="H47" s="35" t="s">
        <x:v>185</x:v>
      </x:c>
      <x:c r="I47" s="35" t="s">
        <x:v>426</x:v>
      </x:c>
    </x:row>
    <x:row r="48" ht="54.95000076293945" customHeight="1">
      <x:c r="A48" s="51" t="str">
        <x:f t="shared" si="1"/>
        <x:v>15|Arean</x:v>
      </x:c>
      <x:c r="B48" s="51">
        <x:v>15</x:v>
      </x:c>
      <x:c r="C48" s="51" t="s">
        <x:v>70</x:v>
      </x:c>
      <x:c r="D48" s="51" t="s">
        <x:v>427</x:v>
      </x:c>
      <x:c r="E48" s="51"/>
      <x:c r="F48" s="52"/>
      <x:c r="G48" s="51" t="s">
        <x:v>428</x:v>
      </x:c>
      <x:c r="H48" s="51" t="s">
        <x:v>185</x:v>
      </x:c>
      <x:c r="I48" s="51" t="s">
        <x:v>429</x:v>
      </x:c>
    </x:row>
    <x:row r="49" ht="54.95000076293945" customHeight="1">
      <x:c r="A49" s="35" t="str">
        <x:f t="shared" si="1"/>
        <x:v>15|Jazmín</x:v>
      </x:c>
      <x:c r="B49" s="35">
        <x:v>15</x:v>
      </x:c>
      <x:c r="C49" s="35" t="s">
        <x:v>74</x:v>
      </x:c>
      <x:c r="D49" s="35" t="s">
        <x:v>430</x:v>
      </x:c>
      <x:c r="E49" s="35"/>
      <x:c r="F49" s="46"/>
      <x:c r="G49" s="35" t="s">
        <x:v>431</x:v>
      </x:c>
      <x:c r="H49" s="35" t="s">
        <x:v>185</x:v>
      </x:c>
      <x:c r="I49" s="35" t="s">
        <x:v>432</x:v>
      </x:c>
    </x:row>
    <x:row r="50" ht="54.95000076293945" customHeight="1">
      <x:c r="A50" s="33" t="str">
        <x:f t="shared" si="1"/>
        <x:v>15|Krishna</x:v>
      </x:c>
      <x:c r="B50" s="33">
        <x:v>15</x:v>
      </x:c>
      <x:c r="C50" s="33" t="s">
        <x:v>78</x:v>
      </x:c>
      <x:c r="D50" s="33" t="s">
        <x:v>433</x:v>
      </x:c>
      <x:c r="E50" s="33"/>
      <x:c r="F50" s="47"/>
      <x:c r="G50" s="33" t="s">
        <x:v>434</x:v>
      </x:c>
      <x:c r="H50" s="33" t="s">
        <x:v>185</x:v>
      </x:c>
      <x:c r="I50" s="33" t="s">
        <x:v>435</x:v>
      </x:c>
    </x:row>
    <x:row r="51" ht="54.95000076293945" customHeight="1">
      <x:c r="A51" s="53" t="str">
        <x:f t="shared" si="1"/>
        <x:v>16|Arean</x:v>
      </x:c>
      <x:c r="B51" s="53">
        <x:v>16</x:v>
      </x:c>
      <x:c r="C51" s="53" t="s">
        <x:v>70</x:v>
      </x:c>
      <x:c r="D51" s="53" t="s">
        <x:v>436</x:v>
      </x:c>
      <x:c r="E51" s="53"/>
      <x:c r="F51" s="54"/>
      <x:c r="G51" s="53" t="s">
        <x:v>437</x:v>
      </x:c>
      <x:c r="H51" s="53" t="s">
        <x:v>185</x:v>
      </x:c>
      <x:c r="I51" s="53" t="s">
        <x:v>438</x:v>
      </x:c>
    </x:row>
    <x:row r="52" ht="54.95000076293945" customHeight="1">
      <x:c r="A52" s="33" t="str">
        <x:f t="shared" si="1"/>
        <x:v>16|Jazmín</x:v>
      </x:c>
      <x:c r="B52" s="33">
        <x:v>16</x:v>
      </x:c>
      <x:c r="C52" s="33" t="s">
        <x:v>74</x:v>
      </x:c>
      <x:c r="D52" s="33" t="s">
        <x:v>439</x:v>
      </x:c>
      <x:c r="E52" s="33"/>
      <x:c r="F52" s="47"/>
      <x:c r="G52" s="33" t="s">
        <x:v>440</x:v>
      </x:c>
      <x:c r="H52" s="33" t="s">
        <x:v>185</x:v>
      </x:c>
      <x:c r="I52" s="33" t="s">
        <x:v>441</x:v>
      </x:c>
    </x:row>
    <x:row r="53" ht="54.95000076293945" customHeight="1">
      <x:c r="A53" s="48" t="str">
        <x:f t="shared" si="1"/>
        <x:v>16|Krishna</x:v>
      </x:c>
      <x:c r="B53" s="48">
        <x:v>16</x:v>
      </x:c>
      <x:c r="C53" s="48" t="s">
        <x:v>78</x:v>
      </x:c>
      <x:c r="D53" s="48" t="s">
        <x:v>442</x:v>
      </x:c>
      <x:c r="E53" s="48"/>
      <x:c r="F53" s="164"/>
      <x:c r="G53" s="48" t="s">
        <x:v>443</x:v>
      </x:c>
      <x:c r="H53" s="48" t="s">
        <x:v>185</x:v>
      </x:c>
      <x:c r="I53" s="48" t="s">
        <x:v>444</x:v>
      </x:c>
    </x:row>
  </x:sheetData>
  <x:mergeCells>
    <x:mergeCell ref="A1:I1"/>
    <x:mergeCell ref="A6:I6"/>
  </x:mergeCells>
  <x:conditionalFormatting sqref="H8:H23">
    <x:cfRule type="containsText" dxfId="16" priority="1" operator="containsText" text="Hecho"/>
    <x:cfRule type="containsText" dxfId="15" priority="2" operator="containsText" text="En progreso"/>
    <x:cfRule type="containsText" dxfId="14" priority="3" operator="containsText" text="Bloqueado"/>
  </x:conditionalFormatting>
  <x:conditionalFormatting sqref="H8:H53">
    <x:cfRule type="containsText" dxfId="13" priority="4" operator="containsText" text="En progreso"/>
    <x:cfRule type="containsText" dxfId="12" priority="5" operator="containsText" text="Hecho"/>
    <x:cfRule type="containsText" dxfId="11" priority="6" operator="containsText" text="Bloqueado"/>
  </x:conditionalFormatting>
  <x:dataValidations count="3">
    <x:dataValidation type="whole" sqref="B4 B8:B53">
      <x:formula1>1</x:formula1>
      <x:formula2>16</x:formula2>
    </x:dataValidation>
    <x:dataValidation type="list" sqref="C8:C53">
      <x:formula1>"Arean,Jazmín,Krishna"</x:formula1>
    </x:dataValidation>
    <x:dataValidation type="list" sqref="H8:H53">
      <x:formula1>"No iniciado,En progreso,Bloqueado,Hecho"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75b8ca20ca48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2" customWidth="1"/>
    <x:col min="2" max="2" width="22" customWidth="1"/>
    <x:col min="3" max="3" width="31" customWidth="1"/>
    <x:col min="4" max="4" width="48" customWidth="1"/>
    <x:col min="5" max="5" width="34" customWidth="1"/>
    <x:col min="6" max="6" width="43" customWidth="1"/>
  </x:cols>
  <x:sheetData>
    <x:row r="1" s="3" customFormat="1" ht="29.100000381469727" customHeight="1">
      <x:c r="A1" s="144" t="s">
        <x:v>445</x:v>
      </x:c>
      <x:c r="B1" s="145"/>
      <x:c r="C1" s="145"/>
      <x:c r="D1" s="145"/>
      <x:c r="E1" s="145"/>
      <x:c r="F1" s="146"/>
    </x:row>
    <x:row r="3" ht="15">
      <x:c r="A3" s="43" t="s">
        <x:v>446</x:v>
      </x:c>
      <x:c r="B3" s="44">
        <x:v>1</x:v>
      </x:c>
    </x:row>
    <x:row r="5" s="5" customFormat="1" ht="21" customHeight="1">
      <x:c r="A5" s="155" t="s">
        <x:v>447</x:v>
      </x:c>
      <x:c r="B5" s="155"/>
      <x:c r="C5" s="155"/>
      <x:c r="D5" s="155"/>
      <x:c r="E5" s="155"/>
      <x:c r="F5" s="155"/>
    </x:row>
    <x:row r="6" ht="15">
      <x:c r="A6" s="28" t="s">
        <x:v>448</x:v>
      </x:c>
      <x:c r="B6" s="29" t="s">
        <x:v>449</x:v>
      </x:c>
      <x:c r="C6" s="29" t="s">
        <x:v>450</x:v>
      </x:c>
      <x:c r="D6" s="29" t="s">
        <x:v>451</x:v>
      </x:c>
      <x:c r="E6" s="29" t="s">
        <x:v>452</x:v>
      </x:c>
      <x:c r="F6" s="30" t="s">
        <x:v>453</x:v>
      </x:c>
    </x:row>
    <x:row r="7" ht="69.94999694824219" customHeight="1">
      <x:c r="A7" s="165">
        <x:v>1</x:v>
      </x:c>
      <x:c r="B7" s="166" t="s">
        <x:v>454</x:v>
      </x:c>
      <x:c r="C7" s="166" t="s">
        <x:v>455</x:v>
      </x:c>
      <x:c r="D7" s="166" t="s">
        <x:v>456</x:v>
      </x:c>
      <x:c r="E7" s="166" t="s">
        <x:v>457</x:v>
      </x:c>
      <x:c r="F7" s="166" t="s">
        <x:v>458</x:v>
      </x:c>
    </x:row>
    <x:row r="8" ht="69.94999694824219" customHeight="1">
      <x:c r="A8" s="55">
        <x:v>2</x:v>
      </x:c>
      <x:c r="B8" s="35" t="s">
        <x:v>459</x:v>
      </x:c>
      <x:c r="C8" s="35" t="s">
        <x:v>460</x:v>
      </x:c>
      <x:c r="D8" s="35" t="s">
        <x:v>461</x:v>
      </x:c>
      <x:c r="E8" s="35" t="s">
        <x:v>462</x:v>
      </x:c>
      <x:c r="F8" s="35" t="s">
        <x:v>463</x:v>
      </x:c>
    </x:row>
    <x:row r="9" ht="69.94999694824219" customHeight="1">
      <x:c r="A9" s="56">
        <x:v>3</x:v>
      </x:c>
      <x:c r="B9" s="33" t="s">
        <x:v>464</x:v>
      </x:c>
      <x:c r="C9" s="33" t="s">
        <x:v>465</x:v>
      </x:c>
      <x:c r="D9" s="33" t="s">
        <x:v>466</x:v>
      </x:c>
      <x:c r="E9" s="33" t="s">
        <x:v>467</x:v>
      </x:c>
      <x:c r="F9" s="33" t="s">
        <x:v>468</x:v>
      </x:c>
    </x:row>
    <x:row r="10" ht="69.94999694824219" customHeight="1">
      <x:c r="A10" s="57">
        <x:v>4</x:v>
      </x:c>
      <x:c r="B10" s="48" t="s">
        <x:v>469</x:v>
      </x:c>
      <x:c r="C10" s="48" t="s">
        <x:v>470</x:v>
      </x:c>
      <x:c r="D10" s="48" t="s">
        <x:v>471</x:v>
      </x:c>
      <x:c r="E10" s="48" t="s">
        <x:v>472</x:v>
      </x:c>
      <x:c r="F10" s="48" t="s">
        <x:v>473</x:v>
      </x:c>
    </x:row>
    <x:row r="12" ht="45.95000076293945" customHeight="1">
      <x:c r="A12" s="157" t="s">
        <x:v>474</x:v>
      </x:c>
      <x:c r="B12" s="158"/>
      <x:c r="C12" s="158"/>
      <x:c r="D12" s="158"/>
      <x:c r="E12" s="158"/>
      <x:c r="F12" s="159"/>
    </x:row>
    <x:row r="14" ht="15">
      <x:c r="A14" s="152" t="s">
        <x:v>475</x:v>
      </x:c>
      <x:c r="B14" s="152"/>
      <x:c r="C14" s="152"/>
      <x:c r="D14" s="152"/>
      <x:c r="E14" s="152"/>
      <x:c r="F14" s="152"/>
    </x:row>
    <x:row r="15" ht="42" customHeight="1">
      <x:c r="A15" s="59" t="s">
        <x:v>476</x:v>
      </x:c>
      <x:c r="B15" s="156" t="str">
        <x:v>Ruta piloto desde cero de 6–8 lecciones, Han Tutor, Speaking de lección, Reflection/Progress, autenticación, revisión humana y operación de beta.</x:v>
      </x:c>
      <x:c r="C15" s="156"/>
      <x:c r="D15" s="156"/>
      <x:c r="E15" s="156"/>
      <x:c r="F15" s="156"/>
    </x:row>
    <x:row r="16" ht="42" customHeight="1">
      <x:c r="A16" s="59" t="s">
        <x:v>263</x:v>
      </x:c>
      <x:c r="B16" s="156" t="str">
        <x:v>Han Companion, Han Vocabulary, avatar/HanCoins/leaderboard, Writing por fotos y Speaking Lab entran como apoyos si son estables y no retrasan la validación del core.</x:v>
      </x:c>
      <x:c r="C16" s="156"/>
      <x:c r="D16" s="156"/>
      <x:c r="E16" s="156"/>
      <x:c r="F16" s="156"/>
    </x:row>
    <x:row r="17" ht="42" customHeight="1">
      <x:c r="A17" s="59" t="s">
        <x:v>477</x:v>
      </x:c>
      <x:c r="B17" s="156" t="str">
        <x:v>HanGo Teacher, Institutions completo, Connect, Community, Play, ampliación de HanCoins, Creator, Marketplace y aplicaciones nativas.</x:v>
      </x:c>
      <x:c r="C17" s="156"/>
      <x:c r="D17" s="156"/>
      <x:c r="E17" s="156"/>
      <x:c r="F17" s="156"/>
    </x:row>
  </x:sheetData>
  <x:mergeCells>
    <x:mergeCell ref="B16:F16"/>
    <x:mergeCell ref="B17:F17"/>
    <x:mergeCell ref="A1:F1"/>
    <x:mergeCell ref="A5:F5"/>
    <x:mergeCell ref="A12:F12"/>
    <x:mergeCell ref="A14:F14"/>
    <x:mergeCell ref="B15:F15"/>
  </x:mergeCells>
  <x:dataValidations count="1">
    <x:dataValidation type="whole" sqref="B3">
      <x:formula1>1</x:formula1>
      <x:formula2>4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30" customWidth="1"/>
    <x:col min="2" max="2" width="17" customWidth="1"/>
    <x:col min="3" max="3" width="16" customWidth="1"/>
    <x:col min="4" max="4" width="23" customWidth="1"/>
    <x:col min="5" max="5" width="55" customWidth="1"/>
  </x:cols>
  <x:sheetData>
    <x:row r="1" ht="29.100000381469727" customHeight="1">
      <x:c r="A1" s="144" t="s">
        <x:v>478</x:v>
      </x:c>
      <x:c r="B1" s="145"/>
      <x:c r="C1" s="145"/>
      <x:c r="D1" s="145"/>
      <x:c r="E1" s="146"/>
    </x:row>
    <x:row r="2" ht="21" customHeight="1">
      <x:c r="A2" s="160" t="s">
        <x:v>479</x:v>
      </x:c>
      <x:c r="B2" s="160"/>
      <x:c r="C2" s="160"/>
      <x:c r="D2" s="160"/>
      <x:c r="E2" s="160"/>
    </x:row>
    <x:row r="4" ht="15">
      <x:c r="A4" s="58" t="s">
        <x:v>480</x:v>
      </x:c>
      <x:c r="B4" s="44">
        <x:v>30</x:v>
      </x:c>
      <x:c r="D4" s="58" t="s">
        <x:v>0</x:v>
      </x:c>
      <x:c r="E4" s="95">
        <x:v>3.4</x:v>
      </x:c>
    </x:row>
    <x:row r="5" ht="15">
      <x:c r="A5" s="58" t="s">
        <x:v>481</x:v>
      </x:c>
      <x:c r="B5" s="67">
        <x:v>30</x:v>
      </x:c>
    </x:row>
    <x:row r="7" ht="21" customHeight="1">
      <x:c r="A7" s="152" t="s">
        <x:v>482</x:v>
      </x:c>
      <x:c r="B7" s="152"/>
      <x:c r="C7" s="152"/>
      <x:c r="D7" s="152"/>
      <x:c r="E7" s="152"/>
    </x:row>
    <x:row r="8" ht="15">
      <x:c r="A8" s="28" t="s">
        <x:v>483</x:v>
      </x:c>
      <x:c r="B8" s="29" t="s">
        <x:v>484</x:v>
      </x:c>
      <x:c r="C8" s="29" t="s">
        <x:v>485</x:v>
      </x:c>
      <x:c r="D8" s="29" t="s">
        <x:v>486</x:v>
      </x:c>
      <x:c r="E8" s="30" t="s">
        <x:v>487</x:v>
      </x:c>
    </x:row>
    <x:row r="9" ht="38.099998474121094" customHeight="1">
      <x:c r="A9" s="45" t="str">
        <x:v>Realtime API — Speaking y Han Companion</x:v>
      </x:c>
      <x:c r="B9" s="72">
        <x:v>0.06</x:v>
      </x:c>
      <x:c r="C9" s="49">
        <x:v>20</x:v>
      </x:c>
      <x:c r="D9" s="68" t="n">
        <x:f>B9*C9</x:f>
        <x:v>1.2</x:v>
      </x:c>
      <x:c r="E9" s="45" t="s">
        <x:v>488</x:v>
      </x:c>
    </x:row>
    <x:row r="10" ht="38.099998474121094" customHeight="1">
      <x:c r="A10" s="35" t="s">
        <x:v>489</x:v>
      </x:c>
      <x:c r="B10" s="73">
        <x:v>1.4999999999999999E-2</x:v>
      </x:c>
      <x:c r="C10" s="50">
        <x:v>10</x:v>
      </x:c>
      <x:c r="D10" s="69" t="n">
        <x:f t="shared" ref="D10:D16" si="0">B10*C10</x:f>
        <x:v>0.15</x:v>
      </x:c>
      <x:c r="E10" s="35" t="s">
        <x:v>490</x:v>
      </x:c>
    </x:row>
    <x:row r="11" ht="38.099998474121094" customHeight="1">
      <x:c r="A11" s="33" t="s">
        <x:v>491</x:v>
      </x:c>
      <x:c r="B11" s="73">
        <x:v>6.0000000000000001E-3</x:v>
      </x:c>
      <x:c r="C11" s="50">
        <x:v>10</x:v>
      </x:c>
      <x:c r="D11" s="70">
        <x:f t="shared" si="0"/>
        <x:v>0.06</x:v>
      </x:c>
      <x:c r="E11" s="33" t="s">
        <x:v>490</x:v>
      </x:c>
    </x:row>
    <x:row r="12" ht="38.099998474121094" customHeight="1">
      <x:c r="A12" s="35" t="str">
        <x:v>Texto IA — Han Tutor y funciones de apoyo</x:v>
      </x:c>
      <x:c r="B12" s="73">
        <x:v>5.0000000000000001E-3</x:v>
      </x:c>
      <x:c r="C12" s="50">
        <x:v>32</x:v>
      </x:c>
      <x:c r="D12" s="69">
        <x:f t="shared" si="0"/>
        <x:v>0.16</x:v>
      </x:c>
      <x:c r="E12" s="35" t="str">
        <x:v>Costo promedio por llamada; reconciliar con tokens reales registrados por proveedor y modelo</x:v>
      </x:c>
    </x:row>
    <x:row r="13" ht="38.099998474121094" customHeight="1">
      <x:c r="A13" s="33" t="s">
        <x:v>492</x:v>
      </x:c>
      <x:c r="B13" s="73">
        <x:v>0.02</x:v>
      </x:c>
      <x:c r="C13" s="50">
        <x:v>2</x:v>
      </x:c>
      <x:c r="D13" s="70">
        <x:f t="shared" si="0"/>
        <x:v>0.04</x:v>
      </x:c>
      <x:c r="E13" s="33" t="s">
        <x:v>493</x:v>
      </x:c>
    </x:row>
    <x:row r="14" ht="38.099998474121094" customHeight="1">
      <x:c r="A14" s="35" t="s">
        <x:v>494</x:v>
      </x:c>
      <x:c r="B14" s="73">
        <x:v>0.02</x:v>
      </x:c>
      <x:c r="C14" s="50">
        <x:v>1</x:v>
      </x:c>
      <x:c r="D14" s="69">
        <x:f t="shared" si="0"/>
        <x:v>0.02</x:v>
      </x:c>
      <x:c r="E14" s="35" t="s">
        <x:v>495</x:v>
      </x:c>
    </x:row>
    <x:row r="15" ht="38.099998474121094" customHeight="1">
      <x:c r="A15" s="33" t="s">
        <x:v>496</x:v>
      </x:c>
      <x:c r="B15" s="73" t="n">
        <x:f>IF($B$4=0,0,$B$5/$B$4)</x:f>
        <x:v>1</x:v>
      </x:c>
      <x:c r="C15" s="50">
        <x:v>1</x:v>
      </x:c>
      <x:c r="D15" s="70">
        <x:f t="shared" si="0"/>
        <x:v>1</x:v>
      </x:c>
      <x:c r="E15" s="33" t="s">
        <x:v>497</x:v>
      </x:c>
    </x:row>
    <x:row r="16" ht="38.099998474121094" customHeight="1">
      <x:c r="A16" s="48" t="s">
        <x:v>498</x:v>
      </x:c>
      <x:c r="B16" s="74">
        <x:v>0.25</x:v>
      </x:c>
      <x:c r="C16" s="75">
        <x:v>1</x:v>
      </x:c>
      <x:c r="D16" s="71">
        <x:f t="shared" si="0"/>
        <x:v>0.25</x:v>
      </x:c>
      <x:c r="E16" s="48" t="s">
        <x:v>499</x:v>
      </x:c>
    </x:row>
    <x:row r="17" ht="38.099998474121094" customHeight="1">
      <x:c r="A17" s="76" t="s">
        <x:v>500</x:v>
      </x:c>
      <x:c r="B17" s="77"/>
      <x:c r="C17" s="76"/>
      <x:c r="D17" s="77" t="n">
        <x:f>SUM(D9:D16)</x:f>
        <x:v>2.88</x:v>
      </x:c>
      <x:c r="E17" s="76" t="s">
        <x:v>501</x:v>
      </x:c>
    </x:row>
    <x:row r="19">
      <x:c r="A19" t="str">
        <x:v>Controles de consumo de IA al 5 de septiembre de 2026</x:v>
      </x:c>
      <x:c r="B19"/>
      <x:c r="C19"/>
      <x:c r="D19"/>
      <x:c r="E19"/>
    </x:row>
    <x:row r="20">
      <x:c r="A20" t="str">
        <x:v>Flujo</x:v>
      </x:c>
      <x:c r="B20" t="str">
        <x:v>Máximo de salida</x:v>
      </x:c>
      <x:c r="C20" t="str">
        <x:v>Límite actual</x:v>
      </x:c>
      <x:c r="D20" t="str">
        <x:v>Estado</x:v>
      </x:c>
      <x:c r="E20" t="str">
        <x:v>Lectura</x:v>
      </x:c>
    </x:row>
    <x:row r="21">
      <x:c r="A21" s="169" t="str">
        <x:v>Placement speaking</x:v>
      </x:c>
      <x:c r="B21" s="171" t="n">
        <x:v>1800</x:v>
      </x:c>
      <x:c r="C21" s="169" t="str">
        <x:v>10 evaluaciones por hora y usuario</x:v>
      </x:c>
      <x:c r="D21" s="169" t="str">
        <x:v>En implementación</x:v>
      </x:c>
      <x:c r="E21" s="169" t="str">
        <x:v>Mayor techo de una llamada de texto; debe medirse contra consumo real</x:v>
      </x:c>
    </x:row>
    <x:row r="22">
      <x:c r="A22" s="169" t="str">
        <x:v>Misión — turno</x:v>
      </x:c>
      <x:c r="B22" s="171" t="n">
        <x:v>300</x:v>
      </x:c>
      <x:c r="C22" s="169" t="str">
        <x:v>15 mensajes por 5 minutos</x:v>
      </x:c>
      <x:c r="D22" s="169" t="str">
        <x:v>Construido</x:v>
      </x:c>
      <x:c r="E22" s="169" t="str">
        <x:v>Techo breve por respuesta conversacional</x:v>
      </x:c>
    </x:row>
    <x:row r="23">
      <x:c r="A23" s="169" t="str">
        <x:v>Misión — cierre</x:v>
      </x:c>
      <x:c r="B23" s="171" t="n">
        <x:v>500</x:v>
      </x:c>
      <x:c r="C23" s="169" t="str">
        <x:v>10 cierres por 15 minutos</x:v>
      </x:c>
      <x:c r="D23" s="169" t="str">
        <x:v>En implementación</x:v>
      </x:c>
      <x:c r="E23" s="169" t="str">
        <x:v>Límite separado e idempotencia para no duplicar evaluación o progreso</x:v>
      </x:c>
    </x:row>
    <x:row r="24">
      <x:c r="A24" s="169" t="str">
        <x:v>Reflection y Speaking Lab</x:v>
      </x:c>
      <x:c r="B24" s="171" t="n">
        <x:v>1600</x:v>
      </x:c>
      <x:c r="C24" s="169" t="str">
        <x:v>10 evaluaciones por 5 minutos en práctica libre</x:v>
      </x:c>
      <x:c r="D24" s="169" t="str">
        <x:v>Construido</x:v>
      </x:c>
      <x:c r="E24" s="169" t="str">
        <x:v>Presupuesto amplio para evitar feedback truncado; no equivale al consumo esperado</x:v>
      </x:c>
    </x:row>
    <x:row r="26">
      <x:c r="A26" s="169" t="str">
        <x:v>AiUsageLog registra proveedor, modelo, tokens de entrada, tokens de salida y costo estimado por solicitud completada. Los techos anteriores son controles técnicos, no consumo promedio ni precio de venta.</x:v>
      </x:c>
      <x:c r="B26" s="169"/>
      <x:c r="C26" s="169"/>
      <x:c r="D26" s="169"/>
      <x:c r="E26" s="169"/>
    </x:row>
  </x:sheetData>
  <x:mergeCells>
    <x:mergeCell ref="A1:E1"/>
    <x:mergeCell ref="A2:E2"/>
    <x:mergeCell ref="A7:E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4.25"/>
  <x:cols>
    <x:col min="1" max="1" width="14.125" style="96" customWidth="1"/>
    <x:col min="2" max="2" width="14.25" style="96" customWidth="1"/>
    <x:col min="3" max="16384" width="11" style="96" customWidth="0"/>
  </x:cols>
  <x:sheetData>
    <x:row r="1" s="101" customFormat="1" ht="29.100000381469727" customHeight="1">
      <x:c r="A1" s="136" t="s">
        <x:v>502</x:v>
      </x:c>
      <x:c r="B1" s="137"/>
      <x:c r="C1" s="137"/>
      <x:c r="D1" s="137"/>
      <x:c r="E1" s="138"/>
    </x:row>
    <x:row r="3" ht="15">
      <x:c r="A3" s="103" t="s">
        <x:v>503</x:v>
      </x:c>
      <x:c r="B3" s="103" t="s">
        <x:v>504</x:v>
      </x:c>
      <x:c r="C3" s="103" t="s">
        <x:v>505</x:v>
      </x:c>
      <x:c r="D3" s="103" t="s">
        <x:v>506</x:v>
      </x:c>
      <x:c r="E3" s="103" t="s">
        <x:v>507</x:v>
      </x:c>
      <x:c r="F3" s="103" t="s">
        <x:v>508</x:v>
      </x:c>
    </x:row>
    <x:row r="4" ht="15">
      <x:c r="A4" s="28" t="s">
        <x:v>509</x:v>
      </x:c>
      <x:c r="B4" s="102" t="n">
        <x:f ca="1">TODAY()</x:f>
        <x:v>46270</x:v>
      </x:c>
      <x:c r="C4" s="28"/>
      <x:c r="D4" s="29"/>
      <x:c r="E4" s="28" t="n">
        <x:f ca="1">SUM(E5:E1000)</x:f>
        <x:v>78.8</x:v>
      </x:c>
      <x:c r="F4" s="29" t="n">
        <x:f ca="1">SUM(F5:F1000)</x:f>
        <x:v>267.91999999999996</x:v>
      </x:c>
    </x:row>
    <x:row r="5" ht="15">
      <x:c r="A5" s="97" t="s">
        <x:v>510</x:v>
      </x:c>
      <x:c r="B5" s="98">
        <x:v>46245</x:v>
      </x:c>
      <x:c r="C5" s="98"/>
      <x:c r="D5" s="99" t="s">
        <x:v>511</x:v>
      </x:c>
      <x:c r="E5" s="96">
        <x:v>24</x:v>
      </x:c>
      <x:c r="F5" s="96" t="n">
        <x:f t="shared" ref="F5:F11" si="0">E5*3.4</x:f>
        <x:v>81.6</x:v>
      </x:c>
    </x:row>
    <x:row r="6" ht="15">
      <x:c r="A6" s="97" t="s">
        <x:v>512</x:v>
      </x:c>
      <x:c r="B6" s="98">
        <x:v>46245</x:v>
      </x:c>
      <x:c r="C6" s="98"/>
      <x:c r="D6" s="99" t="s">
        <x:v>513</x:v>
      </x:c>
      <x:c r="E6" s="96">
        <x:v>5</x:v>
      </x:c>
      <x:c r="F6" s="96">
        <x:f t="shared" si="0"/>
        <x:v>17</x:v>
      </x:c>
    </x:row>
    <x:row r="7" ht="15">
      <x:c r="A7" s="97" t="s">
        <x:v>512</x:v>
      </x:c>
      <x:c r="B7" s="98">
        <x:v>46245</x:v>
      </x:c>
      <x:c r="D7" s="99" t="s">
        <x:v>511</x:v>
      </x:c>
      <x:c r="E7" s="96">
        <x:v>0</x:v>
      </x:c>
      <x:c r="F7" s="96">
        <x:f t="shared" si="0"/>
        <x:v>0</x:v>
      </x:c>
    </x:row>
    <x:row r="8" ht="15">
      <x:c r="A8" s="97" t="s">
        <x:v>514</x:v>
      </x:c>
      <x:c r="B8" s="98">
        <x:v>46252</x:v>
      </x:c>
      <x:c r="C8" s="99" t="s">
        <x:v>515</x:v>
      </x:c>
      <x:c r="D8" s="99" t="s">
        <x:v>516</x:v>
      </x:c>
      <x:c r="E8" s="96">
        <x:v>4</x:v>
      </x:c>
      <x:c r="F8" s="96">
        <x:f t="shared" si="0"/>
        <x:v>13.6</x:v>
      </x:c>
    </x:row>
    <x:row r="9" ht="15">
      <x:c r="A9" s="100" t="s">
        <x:v>512</x:v>
      </x:c>
      <x:c r="B9" s="98">
        <x:v>46254</x:v>
      </x:c>
      <x:c r="C9" s="98"/>
      <x:c r="D9" s="99" t="s">
        <x:v>513</x:v>
      </x:c>
      <x:c r="E9" s="96">
        <x:v>11.8</x:v>
      </x:c>
      <x:c r="F9" s="96">
        <x:f t="shared" si="0"/>
        <x:v>40.120000000000005</x:v>
      </x:c>
    </x:row>
    <x:row r="10" ht="15">
      <x:c r="A10" s="97" t="s">
        <x:v>510</x:v>
      </x:c>
      <x:c r="B10" s="98">
        <x:v>46262</x:v>
      </x:c>
      <x:c r="D10" s="99" t="s">
        <x:v>511</x:v>
      </x:c>
      <x:c r="E10" s="96">
        <x:v>24</x:v>
      </x:c>
      <x:c r="F10" s="96">
        <x:f t="shared" si="0"/>
        <x:v>81.599999999999994</x:v>
      </x:c>
    </x:row>
    <x:row r="11" ht="15">
      <x:c r="A11" s="135" t="s">
        <x:v>517</x:v>
      </x:c>
      <x:c r="B11" s="98">
        <x:v>46265</x:v>
      </x:c>
      <x:c r="D11" s="99" t="s">
        <x:v>511</x:v>
      </x:c>
      <x:c r="E11" s="96">
        <x:v>10</x:v>
      </x:c>
      <x:c r="F11" s="96">
        <x:f t="shared" si="0"/>
        <x:v>34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1" customWidth="1"/>
    <x:col min="2" max="2" width="24" customWidth="1"/>
    <x:col min="3" max="3" width="27" customWidth="1"/>
    <x:col min="4" max="4" width="48" customWidth="1"/>
    <x:col min="5" max="5" width="20" customWidth="1"/>
    <x:col min="6" max="6" width="25" customWidth="1"/>
    <x:col min="7" max="7" width="27" customWidth="1"/>
    <x:col min="8" max="8" width="30" customWidth="1"/>
    <x:col min="9" max="9" width="34" customWidth="1"/>
    <x:col min="10" max="10" width="18" customWidth="1"/>
    <x:col min="11" max="11" width="20" customWidth="1"/>
  </x:cols>
  <x:sheetData>
    <x:row r="1" ht="27.950000762939453" customHeight="1">
      <x:c r="A1" s="161" t="s">
        <x:v>518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</x:row>
    <x:row r="2" ht="27.950000762939453" customHeight="1">
      <x:c r="A2" s="162" t="str">
        <x:v>Arquitectura oficial: HanGo Learn, Teacher, Institutions, Connect, Community, Play y Marketplace. HanCoins, avatar, tienda y leaderboard ya pertenecen a HanGo Learn; cualquier ampliación de la economía se decide con evidencia.</x:v>
      </x:c>
      <x:c r="B2" s="162"/>
      <x:c r="C2" s="162"/>
      <x:c r="D2" s="162"/>
      <x:c r="E2" s="162"/>
      <x:c r="F2" s="162"/>
      <x:c r="G2" s="162"/>
      <x:c r="H2" s="162"/>
      <x:c r="I2" s="162"/>
      <x:c r="J2" s="162"/>
      <x:c r="K2" s="162"/>
    </x:row>
    <x:row r="4" ht="15">
      <x:c r="A4" s="163" t="s">
        <x:v>519</x:v>
      </x:c>
      <x:c r="B4" s="163"/>
      <x:c r="C4" s="163"/>
      <x:c r="D4" s="163"/>
      <x:c r="E4" s="163"/>
      <x:c r="F4" s="163"/>
      <x:c r="G4" s="163"/>
      <x:c r="H4" s="163"/>
      <x:c r="I4" s="163"/>
      <x:c r="J4" s="163"/>
      <x:c r="K4" s="163"/>
    </x:row>
    <x:row r="5" ht="15">
      <x:c r="A5" s="78" t="s">
        <x:v>159</x:v>
      </x:c>
      <x:c r="B5" s="79" t="s">
        <x:v>520</x:v>
      </x:c>
      <x:c r="C5" s="79" t="s">
        <x:v>521</x:v>
      </x:c>
      <x:c r="D5" s="79" t="s">
        <x:v>522</x:v>
      </x:c>
      <x:c r="E5" s="79" t="s">
        <x:v>523</x:v>
      </x:c>
      <x:c r="F5" s="79" t="s">
        <x:v>524</x:v>
      </x:c>
      <x:c r="G5" s="79" t="s">
        <x:v>525</x:v>
      </x:c>
      <x:c r="H5" s="79" t="s">
        <x:v>526</x:v>
      </x:c>
      <x:c r="I5" s="79" t="s">
        <x:v>527</x:v>
      </x:c>
      <x:c r="J5" s="79" t="s">
        <x:v>528</x:v>
      </x:c>
      <x:c r="K5" s="80" t="s">
        <x:v>529</x:v>
      </x:c>
    </x:row>
    <x:row r="6" ht="54" customHeight="1">
      <x:c r="A6" s="84" t="s">
        <x:v>530</x:v>
      </x:c>
      <x:c r="B6" s="85" t="s">
        <x:v>531</x:v>
      </x:c>
      <x:c r="C6" s="84" t="s">
        <x:v>532</x:v>
      </x:c>
      <x:c r="D6" s="84" t="s">
        <x:v>533</x:v>
      </x:c>
      <x:c r="E6" s="86" t="s">
        <x:v>534</x:v>
      </x:c>
      <x:c r="F6" s="84" t="s">
        <x:v>535</x:v>
      </x:c>
      <x:c r="G6" s="84" t="s">
        <x:v>536</x:v>
      </x:c>
      <x:c r="H6" s="84" t="s">
        <x:v>537</x:v>
      </x:c>
      <x:c r="I6" s="84" t="s">
        <x:v>538</x:v>
      </x:c>
      <x:c r="J6" s="84" t="s">
        <x:v>74</x:v>
      </x:c>
      <x:c r="K6" s="84" t="s">
        <x:v>172</x:v>
      </x:c>
    </x:row>
    <x:row r="7" ht="54" customHeight="1">
      <x:c r="A7" s="81" t="s">
        <x:v>539</x:v>
      </x:c>
      <x:c r="B7" s="83" t="s">
        <x:v>531</x:v>
      </x:c>
      <x:c r="C7" s="81" t="s">
        <x:v>540</x:v>
      </x:c>
      <x:c r="D7" s="81" t="s">
        <x:v>541</x:v>
      </x:c>
      <x:c r="E7" s="81" t="s">
        <x:v>534</x:v>
      </x:c>
      <x:c r="F7" s="81" t="s">
        <x:v>535</x:v>
      </x:c>
      <x:c r="G7" s="81" t="s">
        <x:v>542</x:v>
      </x:c>
      <x:c r="H7" s="81" t="s">
        <x:v>543</x:v>
      </x:c>
      <x:c r="I7" s="81" t="s">
        <x:v>544</x:v>
      </x:c>
      <x:c r="J7" s="81" t="s">
        <x:v>230</x:v>
      </x:c>
      <x:c r="K7" s="81" t="s">
        <x:v>172</x:v>
      </x:c>
    </x:row>
    <x:row r="8" ht="54" customHeight="1">
      <x:c r="A8" s="82" t="s">
        <x:v>545</x:v>
      </x:c>
      <x:c r="B8" s="83" t="s">
        <x:v>531</x:v>
      </x:c>
      <x:c r="C8" s="82" t="str">
        <x:v>Costos, tokens y límites de IA</x:v>
      </x:c>
      <x:c r="D8" s="82" t="str">
        <x:v>Registro por proveedor/modelo, tokens de entrada y salida, techos por operación, rate limits, caché, reintentos idempotentes y kill switch.</x:v>
      </x:c>
      <x:c r="E8" s="82" t="str">
        <x:v>MVP 0–4 meses</x:v>
      </x:c>
      <x:c r="F8" s="82" t="str">
        <x:v>Aprobado para MVP</x:v>
      </x:c>
      <x:c r="G8" s="82" t="str">
        <x:v>Usage real</x:v>
      </x:c>
      <x:c r="H8" s="82" t="str">
        <x:v>Medición de 7 días y pruebas de abuso/reintento</x:v>
      </x:c>
      <x:c r="I8" s="82" t="str">
        <x:v>El costo cabe en presupuesto y una repetición no duplica gasto, progreso ni recompensas</x:v>
      </x:c>
      <x:c r="J8" s="82" t="str">
        <x:v>Arean + Jazmín</x:v>
      </x:c>
      <x:c r="K8" s="82" t="str">
        <x:v>En progreso</x:v>
      </x:c>
    </x:row>
    <x:row r="9" ht="54" customHeight="1">
      <x:c r="A9" s="81" t="s">
        <x:v>546</x:v>
      </x:c>
      <x:c r="B9" s="83" t="s">
        <x:v>531</x:v>
      </x:c>
      <x:c r="C9" s="81" t="s">
        <x:v>547</x:v>
      </x:c>
      <x:c r="D9" s="81" t="s">
        <x:v>548</x:v>
      </x:c>
      <x:c r="E9" s="81" t="s">
        <x:v>534</x:v>
      </x:c>
      <x:c r="F9" s="81" t="s">
        <x:v>535</x:v>
      </x:c>
      <x:c r="G9" s="81" t="s">
        <x:v>549</x:v>
      </x:c>
      <x:c r="H9" s="81" t="s">
        <x:v>550</x:v>
      </x:c>
      <x:c r="I9" s="81" t="s">
        <x:v>551</x:v>
      </x:c>
      <x:c r="J9" s="81" t="s">
        <x:v>70</x:v>
      </x:c>
      <x:c r="K9" s="81" t="s">
        <x:v>172</x:v>
      </x:c>
    </x:row>
    <x:row r="10" ht="54" customHeight="1">
      <x:c r="A10" s="82" t="s">
        <x:v>552</x:v>
      </x:c>
      <x:c r="B10" s="83" t="s">
        <x:v>531</x:v>
      </x:c>
      <x:c r="C10" s="82" t="s">
        <x:v>553</x:v>
      </x:c>
      <x:c r="D10" s="82" t="s">
        <x:v>554</x:v>
      </x:c>
      <x:c r="E10" s="82" t="s">
        <x:v>534</x:v>
      </x:c>
      <x:c r="F10" s="82" t="s">
        <x:v>535</x:v>
      </x:c>
      <x:c r="G10" s="82" t="s">
        <x:v>555</x:v>
      </x:c>
      <x:c r="H10" s="82" t="s">
        <x:v>556</x:v>
      </x:c>
      <x:c r="I10" s="82" t="s">
        <x:v>557</x:v>
      </x:c>
      <x:c r="J10" s="82" t="s">
        <x:v>70</x:v>
      </x:c>
      <x:c r="K10" s="82" t="s">
        <x:v>185</x:v>
      </x:c>
    </x:row>
    <x:row r="11" ht="54" customHeight="1">
      <x:c r="A11" s="81" t="s">
        <x:v>558</x:v>
      </x:c>
      <x:c r="B11" s="83" t="s">
        <x:v>531</x:v>
      </x:c>
      <x:c r="C11" s="81" t="str">
        <x:v>Han Tutor con pedagogía progresiva</x:v>
      </x:c>
      <x:c r="D11" s="81" t="str">
        <x:v>Elige entre respuesta breve, contraste, corrección, enseñanza amplia o práctica; ejemplos escritos conservan caracteres, pinyin y traducción.</x:v>
      </x:c>
      <x:c r="E11" s="81" t="str">
        <x:v>MVP 0–4 meses</x:v>
      </x:c>
      <x:c r="F11" s="81" t="str">
        <x:v>Aprobado para MVP</x:v>
      </x:c>
      <x:c r="G11" s="81" t="str">
        <x:v>Nivel y contexto confiables</x:v>
      </x:c>
      <x:c r="H11" s="81" t="str">
        <x:v>Banco de conversaciones reales</x:v>
      </x:c>
      <x:c r="I11" s="81" t="str">
        <x:v>Respuestas naturales sin aperturas repetitivas ni uso rutinario del nombre</x:v>
      </x:c>
      <x:c r="J11" s="81" t="str">
        <x:v>Arean</x:v>
      </x:c>
      <x:c r="K11" s="81" t="str">
        <x:v>Construido; QA continuo</x:v>
      </x:c>
    </x:row>
    <x:row r="12" ht="54" customHeight="1">
      <x:c r="A12" s="82" t="s">
        <x:v>559</x:v>
      </x:c>
      <x:c r="B12" s="83" t="s">
        <x:v>531</x:v>
      </x:c>
      <x:c r="C12" s="82" t="s">
        <x:v>560</x:v>
      </x:c>
      <x:c r="D12" s="82" t="s">
        <x:v>561</x:v>
      </x:c>
      <x:c r="E12" s="82" t="s">
        <x:v>534</x:v>
      </x:c>
      <x:c r="F12" s="82" t="s">
        <x:v>535</x:v>
      </x:c>
      <x:c r="G12" s="82" t="s">
        <x:v>562</x:v>
      </x:c>
      <x:c r="H12" s="82" t="s">
        <x:v>563</x:v>
      </x:c>
      <x:c r="I12" s="82" t="s">
        <x:v>564</x:v>
      </x:c>
      <x:c r="J12" s="82" t="s">
        <x:v>70</x:v>
      </x:c>
      <x:c r="K12" s="82" t="s">
        <x:v>172</x:v>
      </x:c>
    </x:row>
    <x:row r="13" ht="54" customHeight="1">
      <x:c r="A13" s="81" t="s">
        <x:v>565</x:v>
      </x:c>
      <x:c r="B13" s="83" t="s">
        <x:v>531</x:v>
      </x:c>
      <x:c r="C13" s="81" t="str">
        <x:v>Speaking de Learning Journey</x:v>
      </x:c>
      <x:c r="D13" s="81" t="str">
        <x:v>Roleplay contextual de lección con memoria, turnos naturales, transcripción protegida contra silencio/ruido y evaluación posterior.</x:v>
      </x:c>
      <x:c r="E13" s="81" t="str">
        <x:v>MVP 0–4 meses</x:v>
      </x:c>
      <x:c r="F13" s="81" t="str">
        <x:v>Aprobado para MVP</x:v>
      </x:c>
      <x:c r="G13" s="81" t="str">
        <x:v>Realtime estable</x:v>
      </x:c>
      <x:c r="H13" s="81" t="str">
        <x:v>Matriz de lecciones, ambientes y transcripciones</x:v>
      </x:c>
      <x:c r="I13" s="81" t="str">
        <x:v>Sesiones completas sin falsos turnos, firmas de prompt ni pérdida de contexto</x:v>
      </x:c>
      <x:c r="J13" s="81" t="str">
        <x:v>Arean + Jazmín</x:v>
      </x:c>
      <x:c r="K13" s="81" t="str">
        <x:v>En progreso</x:v>
      </x:c>
    </x:row>
    <x:row r="14" ht="54" customHeight="1">
      <x:c r="A14" s="82" t="s">
        <x:v>566</x:v>
      </x:c>
      <x:c r="B14" s="83" t="s">
        <x:v>531</x:v>
      </x:c>
      <x:c r="C14" s="82" t="s">
        <x:v>567</x:v>
      </x:c>
      <x:c r="D14" s="82" t="s">
        <x:v>568</x:v>
      </x:c>
      <x:c r="E14" s="82" t="s">
        <x:v>534</x:v>
      </x:c>
      <x:c r="F14" s="82" t="s">
        <x:v>263</x:v>
      </x:c>
      <x:c r="G14" s="82" t="s">
        <x:v>569</x:v>
      </x:c>
      <x:c r="H14" s="82" t="s">
        <x:v>570</x:v>
      </x:c>
      <x:c r="I14" s="82" t="s">
        <x:v>571</x:v>
      </x:c>
      <x:c r="J14" s="82" t="s">
        <x:v>70</x:v>
      </x:c>
      <x:c r="K14" s="82" t="s">
        <x:v>172</x:v>
      </x:c>
    </x:row>
    <x:row r="15" ht="54" customHeight="1">
      <x:c r="A15" s="81" t="s">
        <x:v>572</x:v>
      </x:c>
      <x:c r="B15" s="83" t="s">
        <x:v>531</x:v>
      </x:c>
      <x:c r="C15" s="81" t="s">
        <x:v>573</x:v>
      </x:c>
      <x:c r="D15" s="81" t="s">
        <x:v>574</x:v>
      </x:c>
      <x:c r="E15" s="81" t="s">
        <x:v>534</x:v>
      </x:c>
      <x:c r="F15" s="81" t="s">
        <x:v>535</x:v>
      </x:c>
      <x:c r="G15" s="81" t="s">
        <x:v>575</x:v>
      </x:c>
      <x:c r="H15" s="81" t="s">
        <x:v>576</x:v>
      </x:c>
      <x:c r="I15" s="81" t="s">
        <x:v>577</x:v>
      </x:c>
      <x:c r="J15" s="81" t="s">
        <x:v>230</x:v>
      </x:c>
      <x:c r="K15" s="81" t="s">
        <x:v>172</x:v>
      </x:c>
    </x:row>
    <x:row r="16" ht="54" customHeight="1">
      <x:c r="A16" s="84" t="s">
        <x:v>578</x:v>
      </x:c>
      <x:c r="B16" s="85" t="s">
        <x:v>531</x:v>
      </x:c>
      <x:c r="C16" s="84" t="s">
        <x:v>579</x:v>
      </x:c>
      <x:c r="D16" s="84" t="s">
        <x:v>580</x:v>
      </x:c>
      <x:c r="E16" s="86" t="s">
        <x:v>581</x:v>
      </x:c>
      <x:c r="F16" s="84" t="s">
        <x:v>263</x:v>
      </x:c>
      <x:c r="G16" s="84" t="s">
        <x:v>582</x:v>
      </x:c>
      <x:c r="H16" s="84" t="s">
        <x:v>583</x:v>
      </x:c>
      <x:c r="I16" s="84" t="s">
        <x:v>584</x:v>
      </x:c>
      <x:c r="J16" s="84" t="s">
        <x:v>230</x:v>
      </x:c>
      <x:c r="K16" s="84" t="s">
        <x:v>172</x:v>
      </x:c>
    </x:row>
    <x:row r="17" ht="54" customHeight="1">
      <x:c r="A17" s="87" t="s">
        <x:v>585</x:v>
      </x:c>
      <x:c r="B17" s="85" t="s">
        <x:v>531</x:v>
      </x:c>
      <x:c r="C17" s="87" t="s">
        <x:v>586</x:v>
      </x:c>
      <x:c r="D17" s="87" t="s">
        <x:v>587</x:v>
      </x:c>
      <x:c r="E17" s="88" t="s">
        <x:v>588</x:v>
      </x:c>
      <x:c r="F17" s="87" t="s">
        <x:v>589</x:v>
      </x:c>
      <x:c r="G17" s="87" t="s">
        <x:v>590</x:v>
      </x:c>
      <x:c r="H17" s="87" t="s">
        <x:v>591</x:v>
      </x:c>
      <x:c r="I17" s="87" t="s">
        <x:v>592</x:v>
      </x:c>
      <x:c r="J17" s="87" t="s">
        <x:v>70</x:v>
      </x:c>
      <x:c r="K17" s="87" t="s">
        <x:v>593</x:v>
      </x:c>
    </x:row>
    <x:row r="18" ht="54" customHeight="1">
      <x:c r="A18" s="82" t="s">
        <x:v>594</x:v>
      </x:c>
      <x:c r="B18" s="83" t="s">
        <x:v>531</x:v>
      </x:c>
      <x:c r="C18" s="82" t="s">
        <x:v>595</x:v>
      </x:c>
      <x:c r="D18" s="82" t="s">
        <x:v>596</x:v>
      </x:c>
      <x:c r="E18" s="82" t="s">
        <x:v>588</x:v>
      </x:c>
      <x:c r="F18" s="82" t="s">
        <x:v>589</x:v>
      </x:c>
      <x:c r="G18" s="82" t="s">
        <x:v>597</x:v>
      </x:c>
      <x:c r="H18" s="82" t="s">
        <x:v>591</x:v>
      </x:c>
      <x:c r="I18" s="82" t="s">
        <x:v>598</x:v>
      </x:c>
      <x:c r="J18" s="82" t="s">
        <x:v>230</x:v>
      </x:c>
      <x:c r="K18" s="82" t="s">
        <x:v>593</x:v>
      </x:c>
    </x:row>
    <x:row r="19" ht="54" customHeight="1">
      <x:c r="A19" s="81" t="s">
        <x:v>599</x:v>
      </x:c>
      <x:c r="B19" s="83" t="s">
        <x:v>531</x:v>
      </x:c>
      <x:c r="C19" s="81" t="s">
        <x:v>600</x:v>
      </x:c>
      <x:c r="D19" s="81" t="s">
        <x:v>601</x:v>
      </x:c>
      <x:c r="E19" s="81" t="s">
        <x:v>588</x:v>
      </x:c>
      <x:c r="F19" s="81" t="s">
        <x:v>602</x:v>
      </x:c>
      <x:c r="G19" s="81" t="s">
        <x:v>603</x:v>
      </x:c>
      <x:c r="H19" s="81" t="s">
        <x:v>604</x:v>
      </x:c>
      <x:c r="I19" s="81" t="s">
        <x:v>605</x:v>
      </x:c>
      <x:c r="J19" s="81" t="s">
        <x:v>230</x:v>
      </x:c>
      <x:c r="K19" s="81" t="s">
        <x:v>185</x:v>
      </x:c>
    </x:row>
    <x:row r="20" ht="54" customHeight="1">
      <x:c r="A20" s="82" t="s">
        <x:v>271</x:v>
      </x:c>
      <x:c r="B20" s="83" t="s">
        <x:v>606</x:v>
      </x:c>
      <x:c r="C20" s="82" t="s">
        <x:v>272</x:v>
      </x:c>
      <x:c r="D20" s="82" t="s">
        <x:v>607</x:v>
      </x:c>
      <x:c r="E20" s="82" t="s">
        <x:v>588</x:v>
      </x:c>
      <x:c r="F20" s="82" t="s">
        <x:v>602</x:v>
      </x:c>
      <x:c r="G20" s="82" t="s">
        <x:v>608</x:v>
      </x:c>
      <x:c r="H20" s="82" t="s">
        <x:v>609</x:v>
      </x:c>
      <x:c r="I20" s="82" t="s">
        <x:v>610</x:v>
      </x:c>
      <x:c r="J20" s="82" t="s">
        <x:v>78</x:v>
      </x:c>
      <x:c r="K20" s="82" t="s">
        <x:v>185</x:v>
      </x:c>
    </x:row>
    <x:row r="21" ht="54" customHeight="1">
      <x:c r="A21" s="87" t="s">
        <x:v>611</x:v>
      </x:c>
      <x:c r="B21" s="85" t="s">
        <x:v>612</x:v>
      </x:c>
      <x:c r="C21" s="87" t="s">
        <x:v>613</x:v>
      </x:c>
      <x:c r="D21" s="87" t="s">
        <x:v>614</x:v>
      </x:c>
      <x:c r="E21" s="88" t="s">
        <x:v>615</x:v>
      </x:c>
      <x:c r="F21" s="87" t="s">
        <x:v>602</x:v>
      </x:c>
      <x:c r="G21" s="87" t="s">
        <x:v>616</x:v>
      </x:c>
      <x:c r="H21" s="87" t="s">
        <x:v>617</x:v>
      </x:c>
      <x:c r="I21" s="87" t="s">
        <x:v>618</x:v>
      </x:c>
      <x:c r="J21" s="87" t="s">
        <x:v>280</x:v>
      </x:c>
      <x:c r="K21" s="87" t="s">
        <x:v>185</x:v>
      </x:c>
    </x:row>
    <x:row r="22" ht="54" customHeight="1">
      <x:c r="A22" s="84" t="s">
        <x:v>619</x:v>
      </x:c>
      <x:c r="B22" s="85" t="s">
        <x:v>531</x:v>
      </x:c>
      <x:c r="C22" s="84" t="s">
        <x:v>620</x:v>
      </x:c>
      <x:c r="D22" s="84" t="s">
        <x:v>621</x:v>
      </x:c>
      <x:c r="E22" s="86" t="s">
        <x:v>622</x:v>
      </x:c>
      <x:c r="F22" s="84" t="s">
        <x:v>589</x:v>
      </x:c>
      <x:c r="G22" s="84" t="s">
        <x:v>623</x:v>
      </x:c>
      <x:c r="H22" s="84" t="s">
        <x:v>624</x:v>
      </x:c>
      <x:c r="I22" s="84" t="s">
        <x:v>625</x:v>
      </x:c>
      <x:c r="J22" s="84" t="s">
        <x:v>70</x:v>
      </x:c>
      <x:c r="K22" s="84" t="s">
        <x:v>185</x:v>
      </x:c>
    </x:row>
    <x:row r="23" ht="54" customHeight="1">
      <x:c r="A23" s="81" t="str">
        <x:v>MVP-11</x:v>
      </x:c>
      <x:c r="B23" s="83" t="str">
        <x:v>HanGo Learn</x:v>
      </x:c>
      <x:c r="C23" s="81" t="str">
        <x:v>Ruta desde cero hasta perfeccionamiento</x:v>
      </x:c>
      <x:c r="D23" s="81" t="str">
        <x:v>Fundamentos con pinyin, tonos y caracteres conectados con situaciones reales; la primera beta valida un tramo pequeño sin limitar la promesa futura.</x:v>
      </x:c>
      <x:c r="E23" s="81" t="str">
        <x:v>MVP 0–4 meses</x:v>
      </x:c>
      <x:c r="F23" s="81" t="str">
        <x:v>Aprobado para MVP</x:v>
      </x:c>
      <x:c r="G23" s="81" t="str">
        <x:v>Tramo inicial revisado</x:v>
      </x:c>
      <x:c r="H23" s="81" t="str">
        <x:v>Prueba con principiantes absolutos y estudiantes con experiencia</x:v>
      </x:c>
      <x:c r="I23" s="81" t="str">
        <x:v>Ambos perfiles entienden el siguiente paso y completan el tramo elegido</x:v>
      </x:c>
      <x:c r="J23" s="81" t="str">
        <x:v>Arean</x:v>
      </x:c>
      <x:c r="K23" s="81" t="str">
        <x:v>Construido; por validar</x:v>
      </x:c>
    </x:row>
    <x:row r="24" ht="54" customHeight="1">
      <x:c r="A24" s="82" t="s">
        <x:v>626</x:v>
      </x:c>
      <x:c r="B24" s="83" t="s">
        <x:v>531</x:v>
      </x:c>
      <x:c r="C24" s="82" t="s">
        <x:v>627</x:v>
      </x:c>
      <x:c r="D24" s="82" t="s">
        <x:v>628</x:v>
      </x:c>
      <x:c r="E24" s="82" t="s">
        <x:v>622</x:v>
      </x:c>
      <x:c r="F24" s="82" t="s">
        <x:v>589</x:v>
      </x:c>
      <x:c r="G24" s="82" t="s">
        <x:v>629</x:v>
      </x:c>
      <x:c r="H24" s="82" t="s">
        <x:v>630</x:v>
      </x:c>
      <x:c r="I24" s="82" t="s">
        <x:v>631</x:v>
      </x:c>
      <x:c r="J24" s="82" t="s">
        <x:v>230</x:v>
      </x:c>
      <x:c r="K24" s="82" t="s">
        <x:v>185</x:v>
      </x:c>
    </x:row>
    <x:row r="25" ht="54" customHeight="1">
      <x:c r="A25" s="81" t="s">
        <x:v>632</x:v>
      </x:c>
      <x:c r="B25" s="83" t="s">
        <x:v>531</x:v>
      </x:c>
      <x:c r="C25" s="81" t="s">
        <x:v>633</x:v>
      </x:c>
      <x:c r="D25" s="81" t="s">
        <x:v>634</x:v>
      </x:c>
      <x:c r="E25" s="81" t="s">
        <x:v>622</x:v>
      </x:c>
      <x:c r="F25" s="81" t="s">
        <x:v>602</x:v>
      </x:c>
      <x:c r="G25" s="81" t="s">
        <x:v>635</x:v>
      </x:c>
      <x:c r="H25" s="81" t="s">
        <x:v>636</x:v>
      </x:c>
      <x:c r="I25" s="81" t="s">
        <x:v>637</x:v>
      </x:c>
      <x:c r="J25" s="81" t="s">
        <x:v>70</x:v>
      </x:c>
      <x:c r="K25" s="81" t="s">
        <x:v>185</x:v>
      </x:c>
    </x:row>
    <x:row r="26" ht="54" customHeight="1">
      <x:c r="A26" s="82" t="s">
        <x:v>638</x:v>
      </x:c>
      <x:c r="B26" s="83" t="s">
        <x:v>531</x:v>
      </x:c>
      <x:c r="C26" s="82" t="s">
        <x:v>639</x:v>
      </x:c>
      <x:c r="D26" s="82" t="s">
        <x:v>640</x:v>
      </x:c>
      <x:c r="E26" s="82" t="s">
        <x:v>622</x:v>
      </x:c>
      <x:c r="F26" s="82" t="s">
        <x:v>589</x:v>
      </x:c>
      <x:c r="G26" s="82" t="s">
        <x:v>641</x:v>
      </x:c>
      <x:c r="H26" s="82" t="s">
        <x:v>642</x:v>
      </x:c>
      <x:c r="I26" s="82" t="s">
        <x:v>643</x:v>
      </x:c>
      <x:c r="J26" s="82" t="s">
        <x:v>70</x:v>
      </x:c>
      <x:c r="K26" s="82" t="s">
        <x:v>185</x:v>
      </x:c>
    </x:row>
    <x:row r="27" ht="54" customHeight="1">
      <x:c r="A27" s="81" t="s">
        <x:v>222</x:v>
      </x:c>
      <x:c r="B27" s="83" t="s">
        <x:v>531</x:v>
      </x:c>
      <x:c r="C27" s="81" t="s">
        <x:v>644</x:v>
      </x:c>
      <x:c r="D27" s="81" t="s">
        <x:v>645</x:v>
      </x:c>
      <x:c r="E27" s="81" t="s">
        <x:v>622</x:v>
      </x:c>
      <x:c r="F27" s="81" t="s">
        <x:v>589</x:v>
      </x:c>
      <x:c r="G27" s="81" t="s">
        <x:v>646</x:v>
      </x:c>
      <x:c r="H27" s="81" t="s">
        <x:v>647</x:v>
      </x:c>
      <x:c r="I27" s="81" t="s">
        <x:v>648</x:v>
      </x:c>
      <x:c r="J27" s="81" t="s">
        <x:v>70</x:v>
      </x:c>
      <x:c r="K27" s="81" t="s">
        <x:v>185</x:v>
      </x:c>
    </x:row>
    <x:row r="28" ht="54" customHeight="1">
      <x:c r="A28" s="82" t="s">
        <x:v>227</x:v>
      </x:c>
      <x:c r="B28" s="83" t="s">
        <x:v>531</x:v>
      </x:c>
      <x:c r="C28" s="82" t="s">
        <x:v>649</x:v>
      </x:c>
      <x:c r="D28" s="82" t="s">
        <x:v>650</x:v>
      </x:c>
      <x:c r="E28" s="82" t="s">
        <x:v>622</x:v>
      </x:c>
      <x:c r="F28" s="82" t="s">
        <x:v>589</x:v>
      </x:c>
      <x:c r="G28" s="82" t="s">
        <x:v>651</x:v>
      </x:c>
      <x:c r="H28" s="82" t="s">
        <x:v>652</x:v>
      </x:c>
      <x:c r="I28" s="82" t="s">
        <x:v>653</x:v>
      </x:c>
      <x:c r="J28" s="82" t="s">
        <x:v>70</x:v>
      </x:c>
      <x:c r="K28" s="82" t="s">
        <x:v>185</x:v>
      </x:c>
    </x:row>
    <x:row r="29" ht="54" customHeight="1">
      <x:c r="A29" s="81" t="s">
        <x:v>221</x:v>
      </x:c>
      <x:c r="B29" s="83" t="s">
        <x:v>531</x:v>
      </x:c>
      <x:c r="C29" s="81" t="s">
        <x:v>654</x:v>
      </x:c>
      <x:c r="D29" s="81" t="s">
        <x:v>655</x:v>
      </x:c>
      <x:c r="E29" s="81" t="s">
        <x:v>622</x:v>
      </x:c>
      <x:c r="F29" s="81" t="s">
        <x:v>589</x:v>
      </x:c>
      <x:c r="G29" s="81" t="s">
        <x:v>656</x:v>
      </x:c>
      <x:c r="H29" s="81" t="s">
        <x:v>657</x:v>
      </x:c>
      <x:c r="I29" s="81" t="s">
        <x:v>658</x:v>
      </x:c>
      <x:c r="J29" s="81" t="s">
        <x:v>230</x:v>
      </x:c>
      <x:c r="K29" s="81" t="s">
        <x:v>185</x:v>
      </x:c>
    </x:row>
    <x:row r="30" ht="54" customHeight="1">
      <x:c r="A30" s="82" t="s">
        <x:v>266</x:v>
      </x:c>
      <x:c r="B30" s="83" t="s">
        <x:v>531</x:v>
      </x:c>
      <x:c r="C30" s="82" t="s">
        <x:v>659</x:v>
      </x:c>
      <x:c r="D30" s="82" t="s">
        <x:v>660</x:v>
      </x:c>
      <x:c r="E30" s="82" t="s">
        <x:v>622</x:v>
      </x:c>
      <x:c r="F30" s="82" t="s">
        <x:v>589</x:v>
      </x:c>
      <x:c r="G30" s="82" t="s">
        <x:v>661</x:v>
      </x:c>
      <x:c r="H30" s="82" t="s">
        <x:v>662</x:v>
      </x:c>
      <x:c r="I30" s="82" t="s">
        <x:v>663</x:v>
      </x:c>
      <x:c r="J30" s="82" t="s">
        <x:v>70</x:v>
      </x:c>
      <x:c r="K30" s="82" t="s">
        <x:v>185</x:v>
      </x:c>
    </x:row>
    <x:row r="31" ht="54" customHeight="1">
      <x:c r="A31" s="81" t="s">
        <x:v>664</x:v>
      </x:c>
      <x:c r="B31" s="83" t="s">
        <x:v>531</x:v>
      </x:c>
      <x:c r="C31" s="81" t="s">
        <x:v>665</x:v>
      </x:c>
      <x:c r="D31" s="81" t="s">
        <x:v>666</x:v>
      </x:c>
      <x:c r="E31" s="81" t="s">
        <x:v>622</x:v>
      </x:c>
      <x:c r="F31" s="81" t="s">
        <x:v>589</x:v>
      </x:c>
      <x:c r="G31" s="81" t="s">
        <x:v>661</x:v>
      </x:c>
      <x:c r="H31" s="81" t="s">
        <x:v>662</x:v>
      </x:c>
      <x:c r="I31" s="81" t="s">
        <x:v>667</x:v>
      </x:c>
      <x:c r="J31" s="81" t="s">
        <x:v>70</x:v>
      </x:c>
      <x:c r="K31" s="81" t="s">
        <x:v>185</x:v>
      </x:c>
    </x:row>
    <x:row r="32" ht="54" customHeight="1">
      <x:c r="A32" s="84" t="s">
        <x:v>668</x:v>
      </x:c>
      <x:c r="B32" s="85" t="s">
        <x:v>669</x:v>
      </x:c>
      <x:c r="C32" s="84" t="s">
        <x:v>670</x:v>
      </x:c>
      <x:c r="D32" s="84" t="s">
        <x:v>671</x:v>
      </x:c>
      <x:c r="E32" s="86" t="s">
        <x:v>672</x:v>
      </x:c>
      <x:c r="F32" s="84" t="s">
        <x:v>602</x:v>
      </x:c>
      <x:c r="G32" s="84" t="s">
        <x:v>616</x:v>
      </x:c>
      <x:c r="H32" s="84" t="s">
        <x:v>673</x:v>
      </x:c>
      <x:c r="I32" s="84" t="s">
        <x:v>674</x:v>
      </x:c>
      <x:c r="J32" s="84" t="s">
        <x:v>280</x:v>
      </x:c>
      <x:c r="K32" s="84" t="s">
        <x:v>185</x:v>
      </x:c>
    </x:row>
    <x:row r="33" ht="54" customHeight="1">
      <x:c r="A33" s="87" t="s">
        <x:v>283</x:v>
      </x:c>
      <x:c r="B33" s="85" t="s">
        <x:v>531</x:v>
      </x:c>
      <x:c r="C33" s="87" t="s">
        <x:v>675</x:v>
      </x:c>
      <x:c r="D33" s="87" t="s">
        <x:v>676</x:v>
      </x:c>
      <x:c r="E33" s="88" t="s">
        <x:v>677</x:v>
      </x:c>
      <x:c r="F33" s="87" t="s">
        <x:v>589</x:v>
      </x:c>
      <x:c r="G33" s="87" t="s">
        <x:v>678</x:v>
      </x:c>
      <x:c r="H33" s="87" t="s">
        <x:v>679</x:v>
      </x:c>
      <x:c r="I33" s="87" t="s">
        <x:v>680</x:v>
      </x:c>
      <x:c r="J33" s="87" t="s">
        <x:v>230</x:v>
      </x:c>
      <x:c r="K33" s="87" t="s">
        <x:v>185</x:v>
      </x:c>
    </x:row>
    <x:row r="34" ht="54" customHeight="1">
      <x:c r="A34" s="84" t="s">
        <x:v>293</x:v>
      </x:c>
      <x:c r="B34" s="85" t="s">
        <x:v>531</x:v>
      </x:c>
      <x:c r="C34" s="84" t="s">
        <x:v>681</x:v>
      </x:c>
      <x:c r="D34" s="84" t="s">
        <x:v>682</x:v>
      </x:c>
      <x:c r="E34" s="86" t="s">
        <x:v>683</x:v>
      </x:c>
      <x:c r="F34" s="84" t="s">
        <x:v>684</x:v>
      </x:c>
      <x:c r="G34" s="84" t="s">
        <x:v>685</x:v>
      </x:c>
      <x:c r="H34" s="84" t="s">
        <x:v>686</x:v>
      </x:c>
      <x:c r="I34" s="84" t="s">
        <x:v>687</x:v>
      </x:c>
      <x:c r="J34" s="84" t="s">
        <x:v>74</x:v>
      </x:c>
      <x:c r="K34" s="84" t="s">
        <x:v>688</x:v>
      </x:c>
    </x:row>
    <x:row r="35" ht="54" customHeight="1">
      <x:c r="A35" s="81" t="s">
        <x:v>689</x:v>
      </x:c>
      <x:c r="B35" s="83" t="s">
        <x:v>531</x:v>
      </x:c>
      <x:c r="C35" s="81" t="s">
        <x:v>690</x:v>
      </x:c>
      <x:c r="D35" s="81" t="s">
        <x:v>691</x:v>
      </x:c>
      <x:c r="E35" s="81" t="s">
        <x:v>683</x:v>
      </x:c>
      <x:c r="F35" s="81" t="s">
        <x:v>684</x:v>
      </x:c>
      <x:c r="G35" s="81" t="s">
        <x:v>692</x:v>
      </x:c>
      <x:c r="H35" s="81" t="s">
        <x:v>693</x:v>
      </x:c>
      <x:c r="I35" s="81" t="s">
        <x:v>694</x:v>
      </x:c>
      <x:c r="J35" s="81" t="s">
        <x:v>74</x:v>
      </x:c>
      <x:c r="K35" s="81" t="s">
        <x:v>688</x:v>
      </x:c>
    </x:row>
    <x:row r="36" ht="54" customHeight="1">
      <x:c r="A36" s="82" t="s">
        <x:v>695</x:v>
      </x:c>
      <x:c r="B36" s="83" t="s">
        <x:v>531</x:v>
      </x:c>
      <x:c r="C36" s="82" t="s">
        <x:v>696</x:v>
      </x:c>
      <x:c r="D36" s="82" t="s">
        <x:v>697</x:v>
      </x:c>
      <x:c r="E36" s="82" t="s">
        <x:v>683</x:v>
      </x:c>
      <x:c r="F36" s="82" t="s">
        <x:v>684</x:v>
      </x:c>
      <x:c r="G36" s="82" t="s">
        <x:v>698</x:v>
      </x:c>
      <x:c r="H36" s="82" t="s">
        <x:v>699</x:v>
      </x:c>
      <x:c r="I36" s="82" t="s">
        <x:v>700</x:v>
      </x:c>
      <x:c r="J36" s="82" t="s">
        <x:v>701</x:v>
      </x:c>
      <x:c r="K36" s="82" t="s">
        <x:v>688</x:v>
      </x:c>
    </x:row>
    <x:row r="37" ht="54" customHeight="1">
      <x:c r="A37" s="81" t="s">
        <x:v>702</x:v>
      </x:c>
      <x:c r="B37" s="83" t="s">
        <x:v>531</x:v>
      </x:c>
      <x:c r="C37" s="81" t="s">
        <x:v>703</x:v>
      </x:c>
      <x:c r="D37" s="81" t="s">
        <x:v>704</x:v>
      </x:c>
      <x:c r="E37" s="81" t="s">
        <x:v>683</x:v>
      </x:c>
      <x:c r="F37" s="81" t="s">
        <x:v>684</x:v>
      </x:c>
      <x:c r="G37" s="81" t="s">
        <x:v>705</x:v>
      </x:c>
      <x:c r="H37" s="81" t="s">
        <x:v>706</x:v>
      </x:c>
      <x:c r="I37" s="81" t="s">
        <x:v>707</x:v>
      </x:c>
      <x:c r="J37" s="81" t="s">
        <x:v>230</x:v>
      </x:c>
      <x:c r="K37" s="81" t="s">
        <x:v>688</x:v>
      </x:c>
    </x:row>
    <x:row r="38" ht="54" customHeight="1">
      <x:c r="A38" s="82" t="str">
        <x:v>MOT-01</x:v>
      </x:c>
      <x:c r="B38" s="83" t="str">
        <x:v>HanGo Learn</x:v>
      </x:c>
      <x:c r="C38" s="82" t="str">
        <x:v>HanCoins, avatar, tienda y leaderboard</x:v>
      </x:c>
      <x:c r="D38" s="82" t="str">
        <x:v>Economía cosmética separada de los puntos de Nivel General. Incluye cuatro avatares, accesorios, logros, ranking acumulativo y premio semanal por HanCoins ganados.</x:v>
      </x:c>
      <x:c r="E38" s="82" t="str">
        <x:v>MVP 0–4 meses</x:v>
      </x:c>
      <x:c r="F38" s="82" t="str">
        <x:v>Apoyo construido; no bloquea la beta</x:v>
      </x:c>
      <x:c r="G38" s="82" t="str">
        <x:v>Actividad de aprendizaje verificable</x:v>
      </x:c>
      <x:c r="H38" s="82" t="str">
        <x:v>Observar uso, retorno y conducta durante la beta</x:v>
      </x:c>
      <x:c r="I38" s="82" t="str">
        <x:v>Mejora motivación sin pay-to-win, ansiedad ni actividad vacía</x:v>
      </x:c>
      <x:c r="J38" s="82" t="str">
        <x:v>Arean</x:v>
      </x:c>
      <x:c r="K38" s="82" t="str">
        <x:v>Construido; por validar</x:v>
      </x:c>
    </x:row>
    <x:row r="39" ht="54" customHeight="1">
      <x:c r="A39" s="81" t="s">
        <x:v>708</x:v>
      </x:c>
      <x:c r="B39" s="83" t="s">
        <x:v>612</x:v>
      </x:c>
      <x:c r="C39" s="81" t="s">
        <x:v>612</x:v>
      </x:c>
      <x:c r="D39" s="81" t="s">
        <x:v>709</x:v>
      </x:c>
      <x:c r="E39" s="81" t="s">
        <x:v>683</x:v>
      </x:c>
      <x:c r="F39" s="81" t="s">
        <x:v>684</x:v>
      </x:c>
      <x:c r="G39" s="81" t="s">
        <x:v>710</x:v>
      </x:c>
      <x:c r="H39" s="81" t="s">
        <x:v>711</x:v>
      </x:c>
      <x:c r="I39" s="81" t="s">
        <x:v>712</x:v>
      </x:c>
      <x:c r="J39" s="81" t="s">
        <x:v>280</x:v>
      </x:c>
      <x:c r="K39" s="81" t="s">
        <x:v>688</x:v>
      </x:c>
    </x:row>
    <x:row r="40" ht="54" customHeight="1">
      <x:c r="A40" s="82" t="s">
        <x:v>277</x:v>
      </x:c>
      <x:c r="B40" s="83" t="s">
        <x:v>606</x:v>
      </x:c>
      <x:c r="C40" s="82" t="s">
        <x:v>606</x:v>
      </x:c>
      <x:c r="D40" s="82" t="s">
        <x:v>713</x:v>
      </x:c>
      <x:c r="E40" s="82" t="s">
        <x:v>683</x:v>
      </x:c>
      <x:c r="F40" s="82" t="s">
        <x:v>684</x:v>
      </x:c>
      <x:c r="G40" s="82" t="s">
        <x:v>714</x:v>
      </x:c>
      <x:c r="H40" s="82" t="s">
        <x:v>715</x:v>
      </x:c>
      <x:c r="I40" s="82" t="s">
        <x:v>716</x:v>
      </x:c>
      <x:c r="J40" s="82" t="s">
        <x:v>280</x:v>
      </x:c>
      <x:c r="K40" s="82" t="s">
        <x:v>688</x:v>
      </x:c>
    </x:row>
    <x:row r="41" ht="54" customHeight="1">
      <x:c r="A41" s="81" t="s">
        <x:v>209</x:v>
      </x:c>
      <x:c r="B41" s="83" t="s">
        <x:v>717</x:v>
      </x:c>
      <x:c r="C41" s="81" t="s">
        <x:v>717</x:v>
      </x:c>
      <x:c r="D41" s="81" t="s">
        <x:v>718</x:v>
      </x:c>
      <x:c r="E41" s="81" t="s">
        <x:v>683</x:v>
      </x:c>
      <x:c r="F41" s="81" t="s">
        <x:v>684</x:v>
      </x:c>
      <x:c r="G41" s="81" t="s">
        <x:v>719</x:v>
      </x:c>
      <x:c r="H41" s="81" t="s">
        <x:v>720</x:v>
      </x:c>
      <x:c r="I41" s="81" t="s">
        <x:v>721</x:v>
      </x:c>
      <x:c r="J41" s="81" t="s">
        <x:v>701</x:v>
      </x:c>
      <x:c r="K41" s="81" t="s">
        <x:v>688</x:v>
      </x:c>
    </x:row>
    <x:row r="42" ht="54" customHeight="1">
      <x:c r="A42" s="82" t="s">
        <x:v>288</x:v>
      </x:c>
      <x:c r="B42" s="83" t="s">
        <x:v>722</x:v>
      </x:c>
      <x:c r="C42" s="82" t="s">
        <x:v>722</x:v>
      </x:c>
      <x:c r="D42" s="82" t="s">
        <x:v>723</x:v>
      </x:c>
      <x:c r="E42" s="82" t="s">
        <x:v>683</x:v>
      </x:c>
      <x:c r="F42" s="82" t="s">
        <x:v>684</x:v>
      </x:c>
      <x:c r="G42" s="82" t="s">
        <x:v>724</x:v>
      </x:c>
      <x:c r="H42" s="82" t="s">
        <x:v>725</x:v>
      </x:c>
      <x:c r="I42" s="82" t="s">
        <x:v>726</x:v>
      </x:c>
      <x:c r="J42" s="82" t="s">
        <x:v>701</x:v>
      </x:c>
      <x:c r="K42" s="82" t="s">
        <x:v>688</x:v>
      </x:c>
    </x:row>
    <x:row r="43" ht="54" customHeight="1">
      <x:c r="A43" s="81" t="s">
        <x:v>727</x:v>
      </x:c>
      <x:c r="B43" s="83" t="s">
        <x:v>722</x:v>
      </x:c>
      <x:c r="C43" s="81" t="s">
        <x:v>728</x:v>
      </x:c>
      <x:c r="D43" s="81" t="s">
        <x:v>729</x:v>
      </x:c>
      <x:c r="E43" s="81" t="s">
        <x:v>683</x:v>
      </x:c>
      <x:c r="F43" s="81" t="s">
        <x:v>684</x:v>
      </x:c>
      <x:c r="G43" s="81" t="s">
        <x:v>730</x:v>
      </x:c>
      <x:c r="H43" s="81" t="s">
        <x:v>731</x:v>
      </x:c>
      <x:c r="I43" s="81" t="s">
        <x:v>732</x:v>
      </x:c>
      <x:c r="J43" s="81" t="s">
        <x:v>701</x:v>
      </x:c>
      <x:c r="K43" s="81" t="s">
        <x:v>688</x:v>
      </x:c>
    </x:row>
    <x:row r="44" ht="54" customHeight="1">
      <x:c r="A44" s="82" t="s">
        <x:v>733</x:v>
      </x:c>
      <x:c r="B44" s="83" t="s">
        <x:v>669</x:v>
      </x:c>
      <x:c r="C44" s="82" t="s">
        <x:v>734</x:v>
      </x:c>
      <x:c r="D44" s="82" t="s">
        <x:v>735</x:v>
      </x:c>
      <x:c r="E44" s="82" t="s">
        <x:v>683</x:v>
      </x:c>
      <x:c r="F44" s="82" t="s">
        <x:v>684</x:v>
      </x:c>
      <x:c r="G44" s="82" t="s">
        <x:v>736</x:v>
      </x:c>
      <x:c r="H44" s="82" t="s">
        <x:v>737</x:v>
      </x:c>
      <x:c r="I44" s="82" t="s">
        <x:v>738</x:v>
      </x:c>
      <x:c r="J44" s="82" t="s">
        <x:v>701</x:v>
      </x:c>
      <x:c r="K44" s="82" t="s">
        <x:v>688</x:v>
      </x:c>
    </x:row>
    <x:row r="45" ht="54" customHeight="1">
      <x:c r="A45" s="81" t="s">
        <x:v>739</x:v>
      </x:c>
      <x:c r="B45" s="83" t="s">
        <x:v>740</x:v>
      </x:c>
      <x:c r="C45" s="81" t="s">
        <x:v>741</x:v>
      </x:c>
      <x:c r="D45" s="81" t="s">
        <x:v>742</x:v>
      </x:c>
      <x:c r="E45" s="81" t="s">
        <x:v>683</x:v>
      </x:c>
      <x:c r="F45" s="81" t="s">
        <x:v>684</x:v>
      </x:c>
      <x:c r="G45" s="81" t="s">
        <x:v>743</x:v>
      </x:c>
      <x:c r="H45" s="81" t="s">
        <x:v>744</x:v>
      </x:c>
      <x:c r="I45" s="81" t="s">
        <x:v>745</x:v>
      </x:c>
      <x:c r="J45" s="81" t="s">
        <x:v>701</x:v>
      </x:c>
      <x:c r="K45" s="81" t="s">
        <x:v>688</x:v>
      </x:c>
    </x:row>
    <x:row r="46" ht="54" customHeight="1">
      <x:c r="A46" s="82" t="s">
        <x:v>746</x:v>
      </x:c>
      <x:c r="B46" s="83" t="s">
        <x:v>740</x:v>
      </x:c>
      <x:c r="C46" s="82" t="s">
        <x:v>740</x:v>
      </x:c>
      <x:c r="D46" s="82" t="s">
        <x:v>747</x:v>
      </x:c>
      <x:c r="E46" s="82" t="s">
        <x:v>683</x:v>
      </x:c>
      <x:c r="F46" s="82" t="s">
        <x:v>684</x:v>
      </x:c>
      <x:c r="G46" s="82" t="s">
        <x:v>748</x:v>
      </x:c>
      <x:c r="H46" s="82" t="s">
        <x:v>749</x:v>
      </x:c>
      <x:c r="I46" s="82" t="s">
        <x:v>750</x:v>
      </x:c>
      <x:c r="J46" s="82" t="s">
        <x:v>701</x:v>
      </x:c>
      <x:c r="K46" s="82" t="s">
        <x:v>688</x:v>
      </x:c>
    </x:row>
    <x:row r="47" ht="54" customHeight="1">
      <x:c r="A47" s="81" t="s">
        <x:v>751</x:v>
      </x:c>
      <x:c r="B47" s="83" t="s">
        <x:v>740</x:v>
      </x:c>
      <x:c r="C47" s="81" t="s">
        <x:v>752</x:v>
      </x:c>
      <x:c r="D47" s="81" t="s">
        <x:v>753</x:v>
      </x:c>
      <x:c r="E47" s="81" t="s">
        <x:v>683</x:v>
      </x:c>
      <x:c r="F47" s="81" t="s">
        <x:v>754</x:v>
      </x:c>
      <x:c r="G47" s="81" t="s">
        <x:v>755</x:v>
      </x:c>
      <x:c r="H47" s="81" t="s">
        <x:v>756</x:v>
      </x:c>
      <x:c r="I47" s="81" t="s">
        <x:v>757</x:v>
      </x:c>
      <x:c r="J47" s="81" t="s">
        <x:v>70</x:v>
      </x:c>
      <x:c r="K47" s="81" t="s">
        <x:v>688</x:v>
      </x:c>
    </x:row>
    <x:row r="48" ht="54" customHeight="1">
      <x:c r="A48" s="89" t="s">
        <x:v>758</x:v>
      </x:c>
      <x:c r="B48" s="90" t="s">
        <x:v>669</x:v>
      </x:c>
      <x:c r="C48" s="89" t="s">
        <x:v>759</x:v>
      </x:c>
      <x:c r="D48" s="89" t="s">
        <x:v>760</x:v>
      </x:c>
      <x:c r="E48" s="91" t="s">
        <x:v>761</x:v>
      </x:c>
      <x:c r="F48" s="89" t="s">
        <x:v>762</x:v>
      </x:c>
      <x:c r="G48" s="89" t="s">
        <x:v>763</x:v>
      </x:c>
      <x:c r="H48" s="89" t="s">
        <x:v>764</x:v>
      </x:c>
      <x:c r="I48" s="89" t="s">
        <x:v>765</x:v>
      </x:c>
      <x:c r="J48" s="89" t="s">
        <x:v>701</x:v>
      </x:c>
      <x:c r="K48" s="89" t="s">
        <x:v>766</x:v>
      </x:c>
    </x:row>
    <x:row r="49">
      <x:c r="A49" t="str">
        <x:v>HAN-01</x:v>
      </x:c>
      <x:c r="B49" t="str">
        <x:v>HanGo Learn</x:v>
      </x:c>
      <x:c r="C49" s="169" t="str">
        <x:v>Han Companion</x:v>
      </x:c>
      <x:c r="D49" s="169" t="str">
        <x:v>Conversación personal por voz con memoria limitada de hechos compartidos; orbe sin chat visible y bordes distintos para alumno y Han.</x:v>
      </x:c>
      <x:c r="E49" s="169" t="str">
        <x:v>MVP 0–4 meses</x:v>
      </x:c>
      <x:c r="F49" s="169" t="str">
        <x:v>Apoyo construido; no bloquea la beta</x:v>
      </x:c>
      <x:c r="G49" s="169" t="str">
        <x:v>Voz y memoria estables</x:v>
      </x:c>
      <x:c r="H49" s="169" t="str">
        <x:v>Sesiones observadas con silencio y ruido</x:v>
      </x:c>
      <x:c r="I49" s="169" t="str">
        <x:v>Conversación natural sin falsos turnos ni mezcla con Tutor o Speaking</x:v>
      </x:c>
      <x:c r="J49" s="169" t="str">
        <x:v>Arean</x:v>
      </x:c>
      <x:c r="K49" s="169" t="str">
        <x:v>Construido; QA continuo</x:v>
      </x:c>
    </x:row>
    <x:row r="50">
      <x:c r="A50" t="str">
        <x:v>VOC-01</x:v>
      </x:c>
      <x:c r="B50" t="str">
        <x:v>HanGo Learn</x:v>
      </x:c>
      <x:c r="C50" s="169" t="str">
        <x:v>Han Vocabulary</x:v>
      </x:c>
      <x:c r="D50" s="169" t="str">
        <x:v>Consulta por caracteres o pinyin con explicación, ejemplos, uso y errores comunes ajustados al nivel real del alumno; no otorga puntos.</x:v>
      </x:c>
      <x:c r="E50" s="169" t="str">
        <x:v>MVP 0–4 meses</x:v>
      </x:c>
      <x:c r="F50" s="169" t="str">
        <x:v>Apoyo construido; no bloquea la beta</x:v>
      </x:c>
      <x:c r="G50" s="169" t="str">
        <x:v>Contenido y consulta estables</x:v>
      </x:c>
      <x:c r="H50" s="169" t="str">
        <x:v>Búsquedas reales por nivel</x:v>
      </x:c>
      <x:c r="I50" s="169" t="str">
        <x:v>Resuelve dudas y ayuda a volver a la ruta sin convertirse en otro chat</x:v>
      </x:c>
      <x:c r="J50" s="169" t="str">
        <x:v>Arean</x:v>
      </x:c>
      <x:c r="K50" s="169" t="str">
        <x:v>Construido; por validar</x:v>
      </x:c>
    </x:row>
    <x:row r="51">
      <x:c r="A51" t="str">
        <x:v>MKT-02</x:v>
      </x:c>
      <x:c r="B51" t="str">
        <x:v>HanGo Learn</x:v>
      </x:c>
      <x:c r="C51" s="169" t="str">
        <x:v>Landing pública</x:v>
      </x:c>
      <x:c r="D51" s="169" t="str">
        <x:v>Página en español desde cero hasta perfeccionamiento con ciclo de aprendizaje, funciones reales, registro, acceso y preview social.</x:v>
      </x:c>
      <x:c r="E51" s="169" t="str">
        <x:v>MVP 0–4 meses</x:v>
      </x:c>
      <x:c r="F51" s="169" t="str">
        <x:v>Aprobado para captación</x:v>
      </x:c>
      <x:c r="G51" s="169" t="str">
        <x:v>Mensaje y flujo de acceso</x:v>
      </x:c>
      <x:c r="H51" s="169" t="str">
        <x:v>Medir visita, CTA, registro y primera acción de valor</x:v>
      </x:c>
      <x:c r="I51" s="169" t="str">
        <x:v>La captación produce usuarios activados, no solo visitas</x:v>
      </x:c>
      <x:c r="J51" s="169" t="str">
        <x:v>Arean</x:v>
      </x:c>
      <x:c r="K51" s="169" t="str">
        <x:v>Construida; falta medir conversión</x:v>
      </x:c>
    </x:row>
  </x:sheetData>
  <x:mergeCells>
    <x:mergeCell ref="A1:K1"/>
    <x:mergeCell ref="A2:K2"/>
    <x:mergeCell ref="A4:K4"/>
  </x:mergeCells>
  <x:conditionalFormatting sqref="D6:D48">
    <x:cfRule type="containsText" dxfId="10" priority="1" operator="containsText" text="MVP"/>
  </x:conditionalFormatting>
  <x:conditionalFormatting sqref="E6:E48">
    <x:cfRule type="containsText" dxfId="9" priority="5" operator="containsText" text="MVP 0–4 meses"/>
    <x:cfRule type="containsText" dxfId="8" priority="13" operator="containsText" text="MVP 0–4 meses"/>
  </x:conditionalFormatting>
  <x:conditionalFormatting sqref="E6:F48">
    <x:cfRule type="containsText" dxfId="7" priority="2" operator="containsText" text="Experimento"/>
  </x:conditionalFormatting>
  <x:conditionalFormatting sqref="F6:F48">
    <x:cfRule type="containsText" dxfId="6" priority="14" operator="containsText" text="Experimento"/>
  </x:conditionalFormatting>
  <x:conditionalFormatting sqref="J6:K48">
    <x:cfRule type="containsText" dxfId="5" priority="3" operator="containsText" text="En progreso"/>
    <x:cfRule type="containsText" dxfId="4" priority="4" operator="containsText" text="Aparcado"/>
  </x:conditionalFormatting>
  <x:conditionalFormatting sqref="K6:K48">
    <x:cfRule type="containsText" dxfId="3" priority="11" operator="containsText" text="En progreso"/>
    <x:cfRule type="containsText" dxfId="2" priority="12" operator="containsText" text="Aparcado"/>
    <x:cfRule type="containsText" dxfId="1" priority="15" operator="containsText" text="En progreso"/>
    <x:cfRule type="containsText" dxfId="0" priority="16" operator="containsText" text="Aparcado"/>
  </x:conditionalFormatting>
  <x:dataValidations count="4">
    <x:dataValidation type="list" sqref="D6:D48">
      <x:formula1>"MVP 0–4 meses,Después de alpha,Después de beta,Después de MVP,Post-MVP,Largo plazo,Parking lot"</x:formula1>
    </x:dataValidation>
    <x:dataValidation type="list" sqref="E6:E48">
      <x:formula1>"MVP 0–4 meses,Después de alpha,Después de beta,Después de MVP,Post-MVP,Después de Teacher Lite,Después de señal de pago,Largo plazo,Parking lot"</x:formula1>
    </x:dataValidation>
    <x:dataValidation type="list" sqref="F6:F48">
      <x:formula1>"Aprobado para MVP,Condicional,Experimento antes de construir,Post-MVP condicionado,Visión; no comprometido,Hipótesis de distribución,No comprometido"</x:formula1>
    </x:dataValidation>
    <x:dataValidation type="list" sqref="B6:B48">
      <x:formula1>"HanGo Learn,HanGo Teacher,HanGo Institutions,HanGo Connect,HanGo Community,HanGo Play,HanGo Marketplace"</x:formula1>
    </x:dataValidation>
  </x:dataValidations>
  <x:pageMargins left="0.7" right="0.7" top="0.75" bottom="0.75" header="0.3" footer="0.3"/>
</x:worksheet>
</file>